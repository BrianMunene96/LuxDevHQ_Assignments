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7.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CODING\1. LUXDEV\Excel\Week 1 Assignment\"/>
    </mc:Choice>
  </mc:AlternateContent>
  <xr:revisionPtr revIDLastSave="0" documentId="13_ncr:1_{B0A48E13-A9AE-489F-914F-92DF267D62BB}" xr6:coauthVersionLast="47" xr6:coauthVersionMax="47" xr10:uidLastSave="{00000000-0000-0000-0000-000000000000}"/>
  <bookViews>
    <workbookView xWindow="22932" yWindow="-108" windowWidth="30936" windowHeight="16776" activeTab="1" xr2:uid="{061A8CE6-84AE-4BD4-8DDB-0D4C1202FDB6}"/>
  </bookViews>
  <sheets>
    <sheet name="Dashboard" sheetId="7" r:id="rId1"/>
    <sheet name="Excel_jumia (1)" sheetId="1" r:id="rId2"/>
    <sheet name="Duplicate Products" sheetId="2" r:id="rId3"/>
    <sheet name="Descriptive Analysis" sheetId="3" r:id="rId4"/>
    <sheet name="Trend Analysis" sheetId="4" r:id="rId5"/>
    <sheet name="Product Performance Analysis" sheetId="5" r:id="rId6"/>
    <sheet name="Performance Analysis 2" sheetId="6" r:id="rId7"/>
  </sheets>
  <definedNames>
    <definedName name="Slicer_Discount_Category">#N/A</definedName>
    <definedName name="Slicer_Rating__Category">#N/A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 i="1" l="1"/>
  <c r="B19" i="3"/>
  <c r="C19" i="3" s="1"/>
  <c r="B15" i="3"/>
  <c r="C15" i="3" s="1"/>
  <c r="H112" i="1"/>
  <c r="G112" i="1"/>
  <c r="B12" i="3"/>
  <c r="E112" i="1"/>
  <c r="B9" i="3"/>
  <c r="B6" i="3"/>
  <c r="C112" i="1"/>
  <c r="B112" i="1"/>
  <c r="B3" i="3"/>
  <c r="F37" i="1"/>
  <c r="F46" i="1"/>
  <c r="F38" i="1"/>
  <c r="F21" i="1"/>
  <c r="F47" i="1"/>
  <c r="F12" i="1"/>
  <c r="F94" i="1"/>
  <c r="F20" i="1"/>
  <c r="F43" i="1"/>
  <c r="F95" i="1"/>
  <c r="F108" i="1"/>
  <c r="F26" i="1"/>
  <c r="F110" i="1"/>
  <c r="F61" i="1"/>
  <c r="F89" i="1"/>
  <c r="F77" i="1"/>
  <c r="F17" i="1"/>
  <c r="F7" i="1"/>
  <c r="F40" i="1"/>
  <c r="F81" i="1"/>
  <c r="F19" i="1"/>
  <c r="F71" i="1"/>
  <c r="F50" i="1"/>
  <c r="F69" i="1"/>
  <c r="F83" i="1"/>
  <c r="F9" i="1"/>
  <c r="F28" i="1"/>
  <c r="F39" i="1"/>
  <c r="F48" i="1"/>
  <c r="F90" i="1"/>
  <c r="F3" i="1"/>
  <c r="F59" i="1"/>
  <c r="F76" i="1"/>
  <c r="F93" i="1"/>
  <c r="F72" i="1"/>
  <c r="F5" i="1"/>
  <c r="F84" i="1"/>
  <c r="F86" i="1"/>
  <c r="F10" i="1"/>
  <c r="F66" i="1"/>
  <c r="F53" i="1"/>
  <c r="F6" i="1"/>
  <c r="F68" i="1"/>
  <c r="F85" i="1"/>
  <c r="F55" i="1"/>
  <c r="F78" i="1"/>
  <c r="F64" i="1"/>
  <c r="F67" i="1"/>
  <c r="F70" i="1"/>
  <c r="F91" i="1"/>
  <c r="F62" i="1"/>
  <c r="F74" i="1"/>
  <c r="F52" i="1"/>
  <c r="F60" i="1"/>
  <c r="F102" i="1"/>
  <c r="F87" i="1"/>
  <c r="F24" i="1"/>
  <c r="F57" i="1"/>
  <c r="F4" i="1"/>
  <c r="F41" i="1"/>
  <c r="F32" i="1"/>
  <c r="F35" i="1"/>
  <c r="F29" i="1"/>
  <c r="F23" i="1"/>
  <c r="F11" i="1"/>
  <c r="F58" i="1"/>
  <c r="F18" i="1"/>
  <c r="F31" i="1"/>
  <c r="F54" i="1"/>
  <c r="F36" i="1"/>
  <c r="F49" i="1"/>
  <c r="F88" i="1"/>
  <c r="F33" i="1"/>
  <c r="F25" i="1"/>
  <c r="F92" i="1"/>
  <c r="F44" i="1"/>
  <c r="F15" i="1"/>
  <c r="F27" i="1"/>
  <c r="F101" i="1"/>
  <c r="F65" i="1"/>
  <c r="F30" i="1"/>
  <c r="F82" i="1"/>
  <c r="F79" i="1"/>
  <c r="F103" i="1"/>
  <c r="F14" i="1"/>
  <c r="F97" i="1"/>
  <c r="F99" i="1"/>
  <c r="F56" i="1"/>
  <c r="F105" i="1"/>
  <c r="F96" i="1"/>
  <c r="F51" i="1"/>
  <c r="F42" i="1"/>
  <c r="F106" i="1"/>
  <c r="F22" i="1"/>
  <c r="F73" i="1"/>
  <c r="F34" i="1"/>
  <c r="F75" i="1"/>
  <c r="F107" i="1"/>
  <c r="F104" i="1"/>
  <c r="F80" i="1"/>
  <c r="F109" i="1"/>
  <c r="F13" i="1"/>
  <c r="F63" i="1"/>
  <c r="F100" i="1"/>
  <c r="F2" i="1"/>
  <c r="F98" i="1"/>
  <c r="F8" i="1"/>
  <c r="F45" i="1"/>
  <c r="F16" i="1"/>
  <c r="I37" i="1"/>
  <c r="I46" i="1"/>
  <c r="I38" i="1"/>
  <c r="I21" i="1"/>
  <c r="I47" i="1"/>
  <c r="I12" i="1"/>
  <c r="I94" i="1"/>
  <c r="I20" i="1"/>
  <c r="I43" i="1"/>
  <c r="I95" i="1"/>
  <c r="I108" i="1"/>
  <c r="I26" i="1"/>
  <c r="I110" i="1"/>
  <c r="I61" i="1"/>
  <c r="I89" i="1"/>
  <c r="I77" i="1"/>
  <c r="I17" i="1"/>
  <c r="I7" i="1"/>
  <c r="I40" i="1"/>
  <c r="I81" i="1"/>
  <c r="I19" i="1"/>
  <c r="I71" i="1"/>
  <c r="I50" i="1"/>
  <c r="I69" i="1"/>
  <c r="I83" i="1"/>
  <c r="I9" i="1"/>
  <c r="I28" i="1"/>
  <c r="I39" i="1"/>
  <c r="I48" i="1"/>
  <c r="I90" i="1"/>
  <c r="I3" i="1"/>
  <c r="I59" i="1"/>
  <c r="I76" i="1"/>
  <c r="I93" i="1"/>
  <c r="I72" i="1"/>
  <c r="I5" i="1"/>
  <c r="I84" i="1"/>
  <c r="I86" i="1"/>
  <c r="I10" i="1"/>
  <c r="I66" i="1"/>
  <c r="I53" i="1"/>
  <c r="I6" i="1"/>
  <c r="I68" i="1"/>
  <c r="I85" i="1"/>
  <c r="I55" i="1"/>
  <c r="I78" i="1"/>
  <c r="I64" i="1"/>
  <c r="I67" i="1"/>
  <c r="I70" i="1"/>
  <c r="I91" i="1"/>
  <c r="I62" i="1"/>
  <c r="I74" i="1"/>
  <c r="I52" i="1"/>
  <c r="I60" i="1"/>
  <c r="I102" i="1"/>
  <c r="I87" i="1"/>
  <c r="I24" i="1"/>
  <c r="I57" i="1"/>
  <c r="I4" i="1"/>
  <c r="I41" i="1"/>
  <c r="I32" i="1"/>
  <c r="I35" i="1"/>
  <c r="I29" i="1"/>
  <c r="I23" i="1"/>
  <c r="I11" i="1"/>
  <c r="I58" i="1"/>
  <c r="I18" i="1"/>
  <c r="I31" i="1"/>
  <c r="I54" i="1"/>
  <c r="I36" i="1"/>
  <c r="I49" i="1"/>
  <c r="I88" i="1"/>
  <c r="I33" i="1"/>
  <c r="I25" i="1"/>
  <c r="I92" i="1"/>
  <c r="I44" i="1"/>
  <c r="I15" i="1"/>
  <c r="I27" i="1"/>
  <c r="I101" i="1"/>
  <c r="I65" i="1"/>
  <c r="I30" i="1"/>
  <c r="I82" i="1"/>
  <c r="I79" i="1"/>
  <c r="I103" i="1"/>
  <c r="I14" i="1"/>
  <c r="I97" i="1"/>
  <c r="I99" i="1"/>
  <c r="I56" i="1"/>
  <c r="I105" i="1"/>
  <c r="I96" i="1"/>
  <c r="I51" i="1"/>
  <c r="I42" i="1"/>
  <c r="I106" i="1"/>
  <c r="I22" i="1"/>
  <c r="I73" i="1"/>
  <c r="I34" i="1"/>
  <c r="I75" i="1"/>
  <c r="I107" i="1"/>
  <c r="I104" i="1"/>
  <c r="I80" i="1"/>
  <c r="I109" i="1"/>
  <c r="I13" i="1"/>
  <c r="I63" i="1"/>
  <c r="I100" i="1"/>
  <c r="I2" i="1"/>
  <c r="I98" i="1"/>
  <c r="I8" i="1"/>
  <c r="I45" i="1"/>
  <c r="I16" i="1"/>
  <c r="D37" i="1"/>
  <c r="D46" i="1"/>
  <c r="D38" i="1"/>
  <c r="D21" i="1"/>
  <c r="D47" i="1"/>
  <c r="D12" i="1"/>
  <c r="D94" i="1"/>
  <c r="D20" i="1"/>
  <c r="D43" i="1"/>
  <c r="D95" i="1"/>
  <c r="D108" i="1"/>
  <c r="D26" i="1"/>
  <c r="D110" i="1"/>
  <c r="D61" i="1"/>
  <c r="D89" i="1"/>
  <c r="D77" i="1"/>
  <c r="D17" i="1"/>
  <c r="D7" i="1"/>
  <c r="D40" i="1"/>
  <c r="D81" i="1"/>
  <c r="D19" i="1"/>
  <c r="D71" i="1"/>
  <c r="D50" i="1"/>
  <c r="D69" i="1"/>
  <c r="D83" i="1"/>
  <c r="D9" i="1"/>
  <c r="D28" i="1"/>
  <c r="D39" i="1"/>
  <c r="D48" i="1"/>
  <c r="D90" i="1"/>
  <c r="D3" i="1"/>
  <c r="D59" i="1"/>
  <c r="D76" i="1"/>
  <c r="D93" i="1"/>
  <c r="D72" i="1"/>
  <c r="D5" i="1"/>
  <c r="D84" i="1"/>
  <c r="D86" i="1"/>
  <c r="D10" i="1"/>
  <c r="D66" i="1"/>
  <c r="D53" i="1"/>
  <c r="D6" i="1"/>
  <c r="D68" i="1"/>
  <c r="D85" i="1"/>
  <c r="D55" i="1"/>
  <c r="D78" i="1"/>
  <c r="D64" i="1"/>
  <c r="D67" i="1"/>
  <c r="D70" i="1"/>
  <c r="D91" i="1"/>
  <c r="D62" i="1"/>
  <c r="D74" i="1"/>
  <c r="D52" i="1"/>
  <c r="D60" i="1"/>
  <c r="D102" i="1"/>
  <c r="D87" i="1"/>
  <c r="D24" i="1"/>
  <c r="D57" i="1"/>
  <c r="D4" i="1"/>
  <c r="D41" i="1"/>
  <c r="D32" i="1"/>
  <c r="D35" i="1"/>
  <c r="D29" i="1"/>
  <c r="D23" i="1"/>
  <c r="D11" i="1"/>
  <c r="D58" i="1"/>
  <c r="D18" i="1"/>
  <c r="D31" i="1"/>
  <c r="D54" i="1"/>
  <c r="D36" i="1"/>
  <c r="D49" i="1"/>
  <c r="D88" i="1"/>
  <c r="D33" i="1"/>
  <c r="D25" i="1"/>
  <c r="D92" i="1"/>
  <c r="D44" i="1"/>
  <c r="D15" i="1"/>
  <c r="D27" i="1"/>
  <c r="D101" i="1"/>
  <c r="D65" i="1"/>
  <c r="D30" i="1"/>
  <c r="D82" i="1"/>
  <c r="D79" i="1"/>
  <c r="D103" i="1"/>
  <c r="D14" i="1"/>
  <c r="D97" i="1"/>
  <c r="D99" i="1"/>
  <c r="D56" i="1"/>
  <c r="D105" i="1"/>
  <c r="D96" i="1"/>
  <c r="D51" i="1"/>
  <c r="D42" i="1"/>
  <c r="D106" i="1"/>
  <c r="D22" i="1"/>
  <c r="D73" i="1"/>
  <c r="D34" i="1"/>
  <c r="D75" i="1"/>
  <c r="D107" i="1"/>
  <c r="D104" i="1"/>
  <c r="D80" i="1"/>
  <c r="D109" i="1"/>
  <c r="D13" i="1"/>
  <c r="D63" i="1"/>
  <c r="D100" i="1"/>
  <c r="D2" i="1"/>
  <c r="D98" i="1"/>
  <c r="D8" i="1"/>
  <c r="D45" i="1"/>
  <c r="D16" i="1"/>
  <c r="D112" i="1" l="1"/>
</calcChain>
</file>

<file path=xl/sharedStrings.xml><?xml version="1.0" encoding="utf-8"?>
<sst xmlns="http://schemas.openxmlformats.org/spreadsheetml/2006/main" count="493" uniqueCount="159">
  <si>
    <t>Product</t>
  </si>
  <si>
    <t>Current price</t>
  </si>
  <si>
    <t>Old price</t>
  </si>
  <si>
    <t>Discount Amount</t>
  </si>
  <si>
    <t>Discount</t>
  </si>
  <si>
    <t>Discount Category</t>
  </si>
  <si>
    <t>Review</t>
  </si>
  <si>
    <t>Rating (out of 5)</t>
  </si>
  <si>
    <t>Rating  Category</t>
  </si>
  <si>
    <t>Wall-mounted Sticker Punch-free Plug Fixer</t>
  </si>
  <si>
    <t>5-PCS Stainless Steel Cooking Pot Set With Steamed Slices</t>
  </si>
  <si>
    <t>Electric LED UV Mosquito Killer Lamp, Outdoor/Indoor Fly Killer Trap Light -USB</t>
  </si>
  <si>
    <t>7-piece Set Of Storage Bags, Travel Storage Bags, Shoe Bags</t>
  </si>
  <si>
    <t>Artificial Potted Flowers Room Decorative Flowers (2 Pieces)</t>
  </si>
  <si>
    <t>380ML USB Rechargeable Portable Small Blenders And Juicers</t>
  </si>
  <si>
    <t>Watercolour Gold Foil Textured Print Pillow Cover</t>
  </si>
  <si>
    <t>5 Pieces/set Of Stainless Steel Induction Cooker Pots</t>
  </si>
  <si>
    <t>Agapeon Toothbrush Holder And Toothpaste Dispenser</t>
  </si>
  <si>
    <t>Intelligent  LED Body Sensor Wireless Lighting Night Light USB</t>
  </si>
  <si>
    <t>120W Cordless Vacuum Cleaners Handheld Electric Vacuum Cleaner</t>
  </si>
  <si>
    <t>VIC Wireless Vacuum Cleaner Dual Use For Home And Car 120W High Power Powerful</t>
  </si>
  <si>
    <t>Mythco 120COB Solar Wall Ligt With Motion Sensor And Remote Control 3 Modes</t>
  </si>
  <si>
    <t>Memory Foam Neck Pillow Cover, With Pillow Core - 50*30cm</t>
  </si>
  <si>
    <t>Wrought Iron Bathroom Shelf Wall Mounted Free Punch Toilet Rack</t>
  </si>
  <si>
    <t>32PCS Portable Cordless Drill Set With Cyclic Battery Drive -26 Variable Speed</t>
  </si>
  <si>
    <t>Large Lazy Inflatable Sofa Chairs PVC Lounger Seat Bag</t>
  </si>
  <si>
    <t>3PCS Single Head Knitting Crochet Sweater Needle Set</t>
  </si>
  <si>
    <t>13 In 1 Home Repair Tools Box Kit Set</t>
  </si>
  <si>
    <t>12 Litre Black Insulated Lunch Box</t>
  </si>
  <si>
    <t>Portable Wardrobe Nonwoven With 3 Hanging Rods And 6 Storage Shelves</t>
  </si>
  <si>
    <t>Household Pineapple Peeler Peeler</t>
  </si>
  <si>
    <t>Desk Foldable Fan Adjustable Fan Strong Wind 3 Gear Usb</t>
  </si>
  <si>
    <t>LED Romantic Spaceship Starry Sky Projector,Children's Bedroom Night Light-Blue</t>
  </si>
  <si>
    <t>220V 60W Electric Soldering Iron Kits With Tools, Tips, And Multimeter</t>
  </si>
  <si>
    <t>Metal Decorative Hooks Key Hangers Entryway Wall Hooks Towel Hooks - Home</t>
  </si>
  <si>
    <t>52 Pieces Cake Decorating Tool Set Gift Kit Baking Supplies</t>
  </si>
  <si>
    <t>Genebre 115 In 1 Screwdriver Repairing Tool Set For IPhone Cellphone Hand Tool</t>
  </si>
  <si>
    <t>Multifunction Laser Level With Adjustment Tripod</t>
  </si>
  <si>
    <t>LASA 3 Tier Bamboo Shoe Bench Storage Shelf</t>
  </si>
  <si>
    <t>Exfoliate And Exfoliate Face Towel - Black</t>
  </si>
  <si>
    <t>LED Eye Protection  Desk Lamp , Study, Reading, USB Fan - Double Pen Holder</t>
  </si>
  <si>
    <t>Punch-free Great Load Bearing Bathroom Storage Rack Wall Shelf-White</t>
  </si>
  <si>
    <t>Foldable Overbed Table/Desk</t>
  </si>
  <si>
    <t>LASA Digital Thermometer And Hydrometer</t>
  </si>
  <si>
    <t>1/2/3 Seater Elastic Sofa Cover,Living Room/Home Decor Chair Cover-Grey</t>
  </si>
  <si>
    <t>115  Piece Set Of Multifunctional Precision Screwdrivers</t>
  </si>
  <si>
    <t>53 Pieces/Set Yarn Knitting Crochet Hooks With Bag - Pansies</t>
  </si>
  <si>
    <t>3D Waterproof EVA Plastic Shower Curtain 1.8*2Mtrs</t>
  </si>
  <si>
    <t>Electronic Digital Display Vernier Caliper</t>
  </si>
  <si>
    <t>Portable Mini Cordless Car Vacuum Cleaner - Blue</t>
  </si>
  <si>
    <t>137 Pieces Cake Decorating Tool Set Baking Supplies</t>
  </si>
  <si>
    <t>LED Wall Digital Alarm Clock Study Home 12 / 24H Clock Calendar</t>
  </si>
  <si>
    <t>Weighing Scale Digital Bathroom Body Fat Scale USB-Black</t>
  </si>
  <si>
    <t>100 Pcs Crochet Hook Tool Set Knitting Hook Set With Box</t>
  </si>
  <si>
    <t>12 Litre Insulated Lunch Box Grey</t>
  </si>
  <si>
    <t>53Pcs/Set Yarn Knitting Crochet Hooks With Bag - Fortune Cat</t>
  </si>
  <si>
    <t>LASA FOLDING TABLE SERVING STAND</t>
  </si>
  <si>
    <t>40cm Gold DIY Acrylic Wall Sticker Clock</t>
  </si>
  <si>
    <t>Portable Home Small Air Humidifier 3-Speed Fan - Green</t>
  </si>
  <si>
    <t>Classic Black Cat Cotton Hemp Pillow Case For Home Car</t>
  </si>
  <si>
    <t>Anti-Skid Absorbent Insulation Coaster  For Home Office</t>
  </si>
  <si>
    <t>LASA Aluminum Folding Truck Hand Cart - 68kg Max</t>
  </si>
  <si>
    <t>Bedroom Simple Floor Hanging Clothes Rack Single Pole Hat Rack - White</t>
  </si>
  <si>
    <t>Peacock  Throw Pillow Cushion Case For Home Car</t>
  </si>
  <si>
    <t>DIY File Folder, Office Drawer File Holder, Pen Holder, Desktop Storage Rack</t>
  </si>
  <si>
    <t>Konka Healty Electric Kettle, 24-hour Heat Preservation,1.5L,800W, White</t>
  </si>
  <si>
    <t>6 In 1 Bottle Can Opener Multifunctional Easy Opener</t>
  </si>
  <si>
    <t>No Reviews</t>
  </si>
  <si>
    <t>No Rating</t>
  </si>
  <si>
    <t>Creative Owl Shape Keychain Black</t>
  </si>
  <si>
    <t>2PCS Ice Silk Square Cushion Cover Pillowcases - 65x65cm</t>
  </si>
  <si>
    <t>Christmas Elk Fence Yard Lawn Decorations Cute For Holidays</t>
  </si>
  <si>
    <t>Wall Clock With Hidden Safe Box</t>
  </si>
  <si>
    <t>Brush &amp; Paintbrush Cleaning Tool Pink</t>
  </si>
  <si>
    <t>Modern Sofa Throw Pillow Cover-45x45cm-Blue&amp;Red</t>
  </si>
  <si>
    <t>Angle Measuring Tool Full Metal Multi Angle Measuring Tool</t>
  </si>
  <si>
    <t>Car Phone Charging Stand</t>
  </si>
  <si>
    <t>Baby Early Education Shape And Color Cognitive Training Toys</t>
  </si>
  <si>
    <t>4M Float Switch Water Level Controller -Water Tank</t>
  </si>
  <si>
    <t>Cartoon Car Decoration Cute Individuality For Car Home Desk</t>
  </si>
  <si>
    <t>4 Piece Coloured Stainless Steel Kitchenware Set</t>
  </si>
  <si>
    <t>7PCS Silicone Thumb Knife Finger Protector Vegetable Harvesting Knife</t>
  </si>
  <si>
    <t>Portable Wine Table With Folding Round Table</t>
  </si>
  <si>
    <t>Christmas Fence Garden Decorations Outdoor For Holiday Home</t>
  </si>
  <si>
    <t>Sewing Machine Needle Threader Stitch Insertion Tool Automatic Quick Sewing</t>
  </si>
  <si>
    <t>6 Layers Steel Pipe Assembling Dustproof Storage Shoe Cabinet</t>
  </si>
  <si>
    <t>2PCS/LOT Solar LED Outdoor Intelligent Light Controlled Wall Lamp</t>
  </si>
  <si>
    <t>Black Simple Water Cup Wine Coaster Anti Slip Absorbent</t>
  </si>
  <si>
    <t>MultiFunctional Storage Rack Multi-layer Bookshelf</t>
  </si>
  <si>
    <t>Simple Metal Dog Art Sculpture Decoration For Home Office</t>
  </si>
  <si>
    <t>3PCS Rotary Scraper Thermomix For Kitchen</t>
  </si>
  <si>
    <t>Multifunctional Hanging Storage Box Storage Bag (4 Layers)</t>
  </si>
  <si>
    <t>4pcs Bathroom/Kitchen Towel Rack,Roll Paper Holder,Towel Bars,Hook</t>
  </si>
  <si>
    <t>8in1 Screwdriver With LED Light</t>
  </si>
  <si>
    <t>Balloon Insert, Birthday Party Balloon Set, PU Leather</t>
  </si>
  <si>
    <t>9pcs Gas Mask, For Painting, Dust, Formaldehyde Grinding, Polishing</t>
  </si>
  <si>
    <t>Cute Christmas Fence Garden Decorations For Holiday Home</t>
  </si>
  <si>
    <t>LASA Stainless Steel Double Wall Mount Soap Dispenser - 500ml</t>
  </si>
  <si>
    <t>2pcs Solar Street Light Flood Light Outdoor</t>
  </si>
  <si>
    <t>5m Waterproof Spherical LED String Lights Outdoor Ball Chain Lights Party Lighting Decoration Adjustable</t>
  </si>
  <si>
    <t>Cartoon Embroidered Mini Towel Bear Cotton Wash Cloth Hand 4pcs</t>
  </si>
  <si>
    <t>LED Solar Street Light-fake Camera</t>
  </si>
  <si>
    <t>60W Hot Melt Glue Sprayer - Efficient And Stable Glue Dispensing</t>
  </si>
  <si>
    <t>12V 19500rpm Handheld Electric Angle Grinder Tool - UK - Yellow/Black</t>
  </si>
  <si>
    <t>1PC Refrigerator Food Seal Pocket Fridge Bags</t>
  </si>
  <si>
    <t>Pilates Cloth Bag Waterproof Durable High Capacity Purple</t>
  </si>
  <si>
    <t>Office Chair Lumbar Back Support Spine Posture Correction Pillow Car Cushion</t>
  </si>
  <si>
    <t>Wall-Mounted Toothbrush Toothpaste Holder With Multiple Slots</t>
  </si>
  <si>
    <t>Outdoor Portable Water Bottle With Medicine Box - 600ML - Black</t>
  </si>
  <si>
    <t>Wall Mount Automatic Toothpaste Dispenser Toothbrush Holder Toothpaste Squeezer</t>
  </si>
  <si>
    <t>Metal Wall Clock Silver Dial Crystal Jewelry Round Home Decoration Wall Clock</t>
  </si>
  <si>
    <t>Cushion Silicone Butt Cushion Summer Ice Cushion Honeycomb Gel Cushion</t>
  </si>
  <si>
    <t>Multi-purpose Rice Drainage Basket And Fruit And Vegetable Drainage Sieve</t>
  </si>
  <si>
    <t>Shower Nozzle Cleaning Unclogging Needle Mini Crevice Small Hole Cleaning Brush</t>
  </si>
  <si>
    <t>Pen Grips For Kids Pen Grip Posture Correction Tool For Kids</t>
  </si>
  <si>
    <t>Portable Soap Dispenser Kitchen Detergent Press Box Kitchen Tools</t>
  </si>
  <si>
    <t>Shower Cap Wide Elastic Band Cover Reusable Bashroom Cap</t>
  </si>
  <si>
    <t>2 Pairs Cowhide Split Leather Work Gloves.32â„‰ Or Above Welding Gloves</t>
  </si>
  <si>
    <t>Thickening Multipurpose Non Stick Easy To Clean Heat Resistant Spoon Pad</t>
  </si>
  <si>
    <t>24 Grid Wall-mounted Sundries Organiser Fabric Closet Bag Storage Rack</t>
  </si>
  <si>
    <t>Row Labels</t>
  </si>
  <si>
    <t>Count of Product</t>
  </si>
  <si>
    <t>Grand Total</t>
  </si>
  <si>
    <t>Average Current Price</t>
  </si>
  <si>
    <t>Avearge Old Price</t>
  </si>
  <si>
    <t>Average Discount %</t>
  </si>
  <si>
    <t>Average Rating</t>
  </si>
  <si>
    <t>Most Expensive Product</t>
  </si>
  <si>
    <t>Least Expensive Product</t>
  </si>
  <si>
    <t>Rating Categories</t>
  </si>
  <si>
    <t>Discount Categories</t>
  </si>
  <si>
    <t>Average</t>
  </si>
  <si>
    <t>High Discount</t>
  </si>
  <si>
    <t>Excellent</t>
  </si>
  <si>
    <t>Low Discount</t>
  </si>
  <si>
    <t>Poor</t>
  </si>
  <si>
    <t>Medium Discount</t>
  </si>
  <si>
    <t>Diccount Percentage</t>
  </si>
  <si>
    <t>Sum of Reviews</t>
  </si>
  <si>
    <t>Sum of Review</t>
  </si>
  <si>
    <t xml:space="preserve">The highest reviewed product with 118 reviews has a discount of 49% which is higher than the average discount of 36%.  However, as we can see of the line chart, this is not a linear relationship. Higher dicount percentages do not automatically lead to higher customer engagement. We can also see there is evidence of high customer engagement at discount percentages lower than the average. </t>
  </si>
  <si>
    <t xml:space="preserve"> </t>
  </si>
  <si>
    <t xml:space="preserve">The highest reviewed product with a total of 177 reviews had a rating of 4.6 which is higher that the average rating of Jumia products (3.9). This would imply that higher-rated products tend to have more reviews but this is not always automatic. Products with the highets rating (5) have only a modest number of reviews (12). Products with a rating of 2.8 which is below the average have amased the third highest number of reviews (69). </t>
  </si>
  <si>
    <t>Top 10 Products by Discount Amount</t>
  </si>
  <si>
    <t>Discount Given</t>
  </si>
  <si>
    <t>Top 10 Products by Discount Percentage</t>
  </si>
  <si>
    <t>Discount Percentage</t>
  </si>
  <si>
    <t>Top 5 products by Rating</t>
  </si>
  <si>
    <t>Product Rating (out of 5)</t>
  </si>
  <si>
    <t>Bottom 5 Products by Rating</t>
  </si>
  <si>
    <t>Number of Reviews</t>
  </si>
  <si>
    <t>Percentage Discount</t>
  </si>
  <si>
    <t>Top 10 Products by Rating</t>
  </si>
  <si>
    <t>NA</t>
  </si>
  <si>
    <t>Top Products by Number of Reviews</t>
  </si>
  <si>
    <t xml:space="preserve"> Total Reviews</t>
  </si>
  <si>
    <t>Average of Current price</t>
  </si>
  <si>
    <t>Average of Discount</t>
  </si>
  <si>
    <t>Average of Rating (out of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</si>
</sst>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Ksh-441]#,##0"/>
    <numFmt numFmtId="165"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2">
    <xf numFmtId="0" fontId="0" fillId="0" borderId="0" xfId="0"/>
    <xf numFmtId="9" fontId="0" fillId="0" borderId="0" xfId="0" applyNumberFormat="1"/>
    <xf numFmtId="0" fontId="16" fillId="0" borderId="0" xfId="0" applyFont="1"/>
    <xf numFmtId="164" fontId="0" fillId="0" borderId="0" xfId="0" applyNumberFormat="1"/>
    <xf numFmtId="164" fontId="16" fillId="0" borderId="0" xfId="0" applyNumberFormat="1" applyFont="1"/>
    <xf numFmtId="10" fontId="0" fillId="0" borderId="0" xfId="0" applyNumberFormat="1"/>
    <xf numFmtId="9" fontId="16" fillId="0" borderId="0" xfId="0" applyNumberFormat="1" applyFont="1"/>
    <xf numFmtId="2" fontId="0" fillId="0" borderId="0" xfId="0" applyNumberFormat="1"/>
    <xf numFmtId="1" fontId="16" fillId="0" borderId="0" xfId="0" applyNumberFormat="1" applyFont="1"/>
    <xf numFmtId="1" fontId="0" fillId="0" borderId="0" xfId="0" applyNumberFormat="1"/>
    <xf numFmtId="165" fontId="16" fillId="0" borderId="0" xfId="0" applyNumberFormat="1" applyFont="1"/>
    <xf numFmtId="165" fontId="0" fillId="0" borderId="0" xfId="0" applyNumberFormat="1"/>
    <xf numFmtId="0" fontId="0" fillId="0" borderId="0" xfId="0" pivotButton="1"/>
    <xf numFmtId="0" fontId="0" fillId="0" borderId="0" xfId="0" applyAlignment="1">
      <alignment horizontal="left"/>
    </xf>
    <xf numFmtId="164" fontId="0" fillId="33" borderId="0" xfId="0" applyNumberFormat="1" applyFill="1"/>
    <xf numFmtId="9" fontId="0" fillId="33" borderId="0" xfId="42" applyFont="1" applyFill="1"/>
    <xf numFmtId="165" fontId="0" fillId="33" borderId="0" xfId="0" applyNumberFormat="1" applyFill="1"/>
    <xf numFmtId="9" fontId="0" fillId="0" borderId="0" xfId="0" applyNumberFormat="1" applyAlignment="1">
      <alignment horizontal="left"/>
    </xf>
    <xf numFmtId="0" fontId="0" fillId="0" borderId="0" xfId="0" applyAlignment="1">
      <alignment wrapText="1"/>
    </xf>
    <xf numFmtId="0" fontId="0" fillId="34" borderId="0" xfId="0" applyFill="1"/>
    <xf numFmtId="0" fontId="0" fillId="33" borderId="0" xfId="0" applyFill="1" applyAlignment="1">
      <alignment horizontal="center"/>
    </xf>
    <xf numFmtId="0" fontId="0" fillId="33" borderId="0" xfId="0" applyFill="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1">
    <dxf>
      <numFmt numFmtId="0" formatCode="General"/>
    </dxf>
    <dxf>
      <numFmt numFmtId="165" formatCode="0.0"/>
    </dxf>
    <dxf>
      <numFmt numFmtId="1" formatCode="0"/>
    </dxf>
    <dxf>
      <numFmt numFmtId="13" formatCode="0%"/>
    </dxf>
    <dxf>
      <numFmt numFmtId="13" formatCode="0%"/>
    </dxf>
    <dxf>
      <numFmt numFmtId="164" formatCode="[$Ksh-441]#,##0"/>
    </dxf>
    <dxf>
      <numFmt numFmtId="164" formatCode="[$Ksh-441]#,##0"/>
    </dxf>
    <dxf>
      <numFmt numFmtId="164" formatCode="[$Ksh-441]#,##0"/>
    </dxf>
    <dxf>
      <font>
        <color rgb="FF9C0006"/>
      </font>
      <fill>
        <patternFill>
          <bgColor rgb="FFFFC7CE"/>
        </patternFill>
      </fill>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5" formatCode="0.0"/>
    </dxf>
  </dxfs>
  <tableStyles count="0" defaultTableStyle="TableStyleMedium2" defaultPivotStyle="PivotStyleLight16"/>
  <colors>
    <mruColors>
      <color rgb="FFFF7128"/>
      <color rgb="FFFFFFCC"/>
      <color rgb="FFFFEF9C"/>
      <color rgb="FFFF9900"/>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[Brian Muriithi_COHORT_7_Excel_Jumia_Dashboard.xlsx]Product Performance Analysis!PivotTable4</c:name>
    <c:fmtId val="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200" b="1" i="0" u="none" strike="noStrike" kern="1200" spc="0" baseline="0">
                <a:solidFill>
                  <a:sysClr val="windowText" lastClr="000000"/>
                </a:solidFill>
              </a:rPr>
              <a:t>Top 10 Products by Discount Percentage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Performance Analysis'!$C$21</c:f>
              <c:strCache>
                <c:ptCount val="1"/>
                <c:pt idx="0">
                  <c:v>Total</c:v>
                </c:pt>
              </c:strCache>
            </c:strRef>
          </c:tx>
          <c:spPr>
            <a:solidFill>
              <a:schemeClr val="accent2"/>
            </a:solidFill>
            <a:ln>
              <a:noFill/>
            </a:ln>
            <a:effectLst/>
          </c:spPr>
          <c:invertIfNegative val="0"/>
          <c:cat>
            <c:strRef>
              <c:f>'Product Performance Analysis'!$B$22:$B$31</c:f>
              <c:strCache>
                <c:ptCount val="10"/>
                <c:pt idx="0">
                  <c:v>6 In 1 Bottle Can Opener Multifunctional Easy Opener</c:v>
                </c:pt>
                <c:pt idx="1">
                  <c:v>Creative Owl Shape Keychain Black</c:v>
                </c:pt>
                <c:pt idx="2">
                  <c:v>LASA FOLDING TABLE SERVING STAND</c:v>
                </c:pt>
                <c:pt idx="3">
                  <c:v>5-PCS Stainless Steel Cooking Pot Set With Steamed Slices</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Intelligent  LED Body Sensor Wireless Lighting Night Light USB</c:v>
                </c:pt>
                <c:pt idx="9">
                  <c:v>Exfoliate And Exfoliate Face Towel - Black</c:v>
                </c:pt>
              </c:strCache>
            </c:strRef>
          </c:cat>
          <c:val>
            <c:numRef>
              <c:f>'Product Performance Analysis'!$C$22:$C$31</c:f>
              <c:numCache>
                <c:formatCode>0%</c:formatCode>
                <c:ptCount val="10"/>
                <c:pt idx="0">
                  <c:v>0.64</c:v>
                </c:pt>
                <c:pt idx="1">
                  <c:v>0.61</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0A16-44F7-BBF8-1FC3CEB25ACD}"/>
            </c:ext>
          </c:extLst>
        </c:ser>
        <c:dLbls>
          <c:showLegendKey val="0"/>
          <c:showVal val="0"/>
          <c:showCatName val="0"/>
          <c:showSerName val="0"/>
          <c:showPercent val="0"/>
          <c:showBubbleSize val="0"/>
        </c:dLbls>
        <c:gapWidth val="219"/>
        <c:overlap val="-27"/>
        <c:axId val="1036271375"/>
        <c:axId val="1036288655"/>
      </c:barChart>
      <c:catAx>
        <c:axId val="103627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1036288655"/>
        <c:crosses val="autoZero"/>
        <c:auto val="1"/>
        <c:lblAlgn val="ctr"/>
        <c:lblOffset val="100"/>
        <c:noMultiLvlLbl val="0"/>
      </c:catAx>
      <c:valAx>
        <c:axId val="1036288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GB" sz="1000" b="1" i="0" u="none" strike="noStrike" kern="1200" baseline="0">
                    <a:solidFill>
                      <a:sysClr val="windowText" lastClr="000000">
                        <a:lumMod val="65000"/>
                        <a:lumOff val="35000"/>
                      </a:sysClr>
                    </a:solidFill>
                    <a:latin typeface="+mn-lt"/>
                    <a:ea typeface="+mn-ea"/>
                    <a:cs typeface="+mn-cs"/>
                  </a:defRPr>
                </a:pPr>
                <a:r>
                  <a:rPr lang="en-GB" sz="1000" b="1" i="0" u="none" strike="noStrike" kern="1200" baseline="0">
                    <a:solidFill>
                      <a:sysClr val="windowText" lastClr="000000">
                        <a:lumMod val="65000"/>
                        <a:lumOff val="35000"/>
                      </a:sysClr>
                    </a:solidFill>
                    <a:latin typeface="+mn-lt"/>
                    <a:ea typeface="+mn-ea"/>
                    <a:cs typeface="+mn-cs"/>
                  </a:rPr>
                  <a:t>Discount</a:t>
                </a:r>
              </a:p>
            </c:rich>
          </c:tx>
          <c:overlay val="0"/>
          <c:spPr>
            <a:noFill/>
            <a:ln>
              <a:noFill/>
            </a:ln>
            <a:effectLst/>
          </c:spPr>
          <c:txPr>
            <a:bodyPr rot="-5400000" spcFirstLastPara="1" vertOverflow="ellipsis" vert="horz" wrap="square" anchor="ctr" anchorCtr="1"/>
            <a:lstStyle/>
            <a:p>
              <a:pPr algn="ctr" rtl="0">
                <a:defRPr lang="en-GB" sz="1000" b="1"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103627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[Brian Muriithi_COHORT_7_Excel_Jumia_Dashboard.xlsx]Trend Analysis!PivotTable3</c:name>
    <c:fmtId val="5"/>
  </c:pivotSource>
  <c:chart>
    <c:title>
      <c:tx>
        <c:rich>
          <a:bodyPr rot="0" spcFirstLastPara="1" vertOverflow="ellipsis" vert="horz" wrap="square" anchor="ctr" anchorCtr="1"/>
          <a:lstStyle/>
          <a:p>
            <a:pPr algn="ctr" rtl="0">
              <a:defRPr lang="en-US" sz="1200" b="1" i="0" u="none" strike="noStrike" kern="1200" spc="0" baseline="0">
                <a:solidFill>
                  <a:schemeClr val="accent4"/>
                </a:solidFill>
                <a:latin typeface="+mn-lt"/>
                <a:ea typeface="+mn-ea"/>
                <a:cs typeface="+mn-cs"/>
              </a:defRPr>
            </a:pPr>
            <a:r>
              <a:rPr lang="en-US" sz="1200" b="1" i="0" u="none" strike="noStrike" kern="1200" spc="0" baseline="0">
                <a:solidFill>
                  <a:sysClr val="windowText" lastClr="000000"/>
                </a:solidFill>
                <a:latin typeface="+mn-lt"/>
                <a:ea typeface="+mn-ea"/>
                <a:cs typeface="+mn-cs"/>
              </a:rPr>
              <a:t>Top 10 Products by Number of Reviews</a:t>
            </a:r>
          </a:p>
        </c:rich>
      </c:tx>
      <c:layout>
        <c:manualLayout>
          <c:xMode val="edge"/>
          <c:yMode val="edge"/>
          <c:x val="0.22701377952755908"/>
          <c:y val="2.3148148148148147E-2"/>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'Trend Analysis'!$F$43</c:f>
              <c:strCache>
                <c:ptCount val="1"/>
                <c:pt idx="0">
                  <c:v>Total</c:v>
                </c:pt>
              </c:strCache>
            </c:strRef>
          </c:tx>
          <c:spPr>
            <a:solidFill>
              <a:schemeClr val="accent2"/>
            </a:solidFill>
            <a:ln>
              <a:noFill/>
            </a:ln>
            <a:effectLst/>
          </c:spPr>
          <c:invertIfNegative val="0"/>
          <c:cat>
            <c:strRef>
              <c:f>'Trend Analysis'!$E$44:$E$53</c:f>
              <c:strCache>
                <c:ptCount val="10"/>
                <c:pt idx="0">
                  <c:v>52 Pieces Cake Decorating Tool Set Gift Kit Baking Supplies</c:v>
                </c:pt>
                <c:pt idx="1">
                  <c:v>53Pcs/Set Yarn Knitting Crochet Hooks With Bag - Fortune Cat</c:v>
                </c:pt>
                <c:pt idx="2">
                  <c:v>Portable Mini Cordless Car Vacuum Cleaner - Blue</c:v>
                </c:pt>
                <c:pt idx="3">
                  <c:v>53 Pieces/Set Yarn Knitting Crochet Hooks With Bag - Pansies</c:v>
                </c:pt>
                <c:pt idx="4">
                  <c:v>Punch-free Great Load Bearing Bathroom Storage Rack Wall Shelf-White</c:v>
                </c:pt>
                <c:pt idx="5">
                  <c:v>100 Pcs Crochet Hook Tool Set Knitting Hook Set With Box</c:v>
                </c:pt>
                <c:pt idx="6">
                  <c:v>3D Waterproof EVA Plastic Shower Curtain 1.8*2Mtrs</c:v>
                </c:pt>
                <c:pt idx="7">
                  <c:v>Electronic Digital Display Vernier Caliper</c:v>
                </c:pt>
                <c:pt idx="8">
                  <c:v>137 Pieces Cake Decorating Tool Set Baking Supplies</c:v>
                </c:pt>
                <c:pt idx="9">
                  <c:v>120W Cordless Vacuum Cleaners Handheld Electric Vacuum Cleaner</c:v>
                </c:pt>
              </c:strCache>
            </c:strRef>
          </c:cat>
          <c:val>
            <c:numRef>
              <c:f>'Trend Analysis'!$F$44:$F$53</c:f>
              <c:numCache>
                <c:formatCode>General</c:formatCode>
                <c:ptCount val="10"/>
                <c:pt idx="0">
                  <c:v>20</c:v>
                </c:pt>
                <c:pt idx="1">
                  <c:v>20</c:v>
                </c:pt>
                <c:pt idx="2">
                  <c:v>24</c:v>
                </c:pt>
                <c:pt idx="3">
                  <c:v>32</c:v>
                </c:pt>
                <c:pt idx="4">
                  <c:v>36</c:v>
                </c:pt>
                <c:pt idx="5">
                  <c:v>39</c:v>
                </c:pt>
                <c:pt idx="6">
                  <c:v>44</c:v>
                </c:pt>
                <c:pt idx="7">
                  <c:v>49</c:v>
                </c:pt>
                <c:pt idx="8">
                  <c:v>55</c:v>
                </c:pt>
                <c:pt idx="9">
                  <c:v>69</c:v>
                </c:pt>
              </c:numCache>
            </c:numRef>
          </c:val>
          <c:extLst>
            <c:ext xmlns:c16="http://schemas.microsoft.com/office/drawing/2014/chart" uri="{C3380CC4-5D6E-409C-BE32-E72D297353CC}">
              <c16:uniqueId val="{00000000-467C-42CA-9F4A-7370AF16217F}"/>
            </c:ext>
          </c:extLst>
        </c:ser>
        <c:dLbls>
          <c:showLegendKey val="0"/>
          <c:showVal val="0"/>
          <c:showCatName val="0"/>
          <c:showSerName val="0"/>
          <c:showPercent val="0"/>
          <c:showBubbleSize val="0"/>
        </c:dLbls>
        <c:gapWidth val="195"/>
        <c:axId val="826257216"/>
        <c:axId val="826257696"/>
      </c:barChart>
      <c:catAx>
        <c:axId val="826257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826257696"/>
        <c:crosses val="autoZero"/>
        <c:auto val="1"/>
        <c:lblAlgn val="ctr"/>
        <c:lblOffset val="100"/>
        <c:noMultiLvlLbl val="0"/>
      </c:catAx>
      <c:valAx>
        <c:axId val="8262576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lang="en-GB" sz="1000" b="1" i="0" u="none" strike="noStrike" kern="1200" baseline="0">
                    <a:solidFill>
                      <a:sysClr val="windowText" lastClr="000000">
                        <a:lumMod val="65000"/>
                        <a:lumOff val="35000"/>
                      </a:sysClr>
                    </a:solidFill>
                    <a:latin typeface="+mn-lt"/>
                    <a:ea typeface="+mn-ea"/>
                    <a:cs typeface="+mn-cs"/>
                  </a:defRPr>
                </a:pPr>
                <a:r>
                  <a:rPr lang="en-GB" sz="1000" b="1" i="0" u="none" strike="noStrike" kern="1200" baseline="0">
                    <a:solidFill>
                      <a:sysClr val="windowText" lastClr="000000">
                        <a:lumMod val="65000"/>
                        <a:lumOff val="35000"/>
                      </a:sysClr>
                    </a:solidFill>
                    <a:latin typeface="+mn-lt"/>
                    <a:ea typeface="+mn-ea"/>
                    <a:cs typeface="+mn-cs"/>
                  </a:rPr>
                  <a:t>Total Reviews</a:t>
                </a:r>
              </a:p>
            </c:rich>
          </c:tx>
          <c:overlay val="0"/>
          <c:spPr>
            <a:noFill/>
            <a:ln>
              <a:noFill/>
            </a:ln>
            <a:effectLst/>
          </c:spPr>
          <c:txPr>
            <a:bodyPr rot="0" spcFirstLastPara="1" vertOverflow="ellipsis" vert="horz" wrap="square" anchor="ctr" anchorCtr="1"/>
            <a:lstStyle/>
            <a:p>
              <a:pPr algn="ctr" rtl="0">
                <a:defRPr lang="en-GB" sz="1000" b="1"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25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[Brian Muriithi_COHORT_7_Excel_Jumia_Dashboard.xlsx]Trend Analysis!PivotTable1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i="0" u="none" strike="noStrike" baseline="0">
                <a:solidFill>
                  <a:sysClr val="windowText" lastClr="000000"/>
                </a:solidFill>
              </a:rPr>
              <a:t>Relationship between Discount Percentage and Number of Reviews</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Analysis'!$C$5</c:f>
              <c:strCache>
                <c:ptCount val="1"/>
                <c:pt idx="0">
                  <c:v>Total</c:v>
                </c:pt>
              </c:strCache>
            </c:strRef>
          </c:tx>
          <c:spPr>
            <a:ln w="28575" cap="rnd">
              <a:solidFill>
                <a:schemeClr val="accent2"/>
              </a:solidFill>
              <a:round/>
            </a:ln>
            <a:effectLst/>
          </c:spPr>
          <c:marker>
            <c:symbol val="none"/>
          </c:marker>
          <c:cat>
            <c:strRef>
              <c:f>'Trend Analysis'!$B$6:$B$52</c:f>
              <c:strCache>
                <c:ptCount val="46"/>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38%</c:v>
                </c:pt>
                <c:pt idx="28">
                  <c:v>39%</c:v>
                </c:pt>
                <c:pt idx="29">
                  <c:v>40%</c:v>
                </c:pt>
                <c:pt idx="30">
                  <c:v>41%</c:v>
                </c:pt>
                <c:pt idx="31">
                  <c:v>42%</c:v>
                </c:pt>
                <c:pt idx="32">
                  <c:v>43%</c:v>
                </c:pt>
                <c:pt idx="33">
                  <c:v>45%</c:v>
                </c:pt>
                <c:pt idx="34">
                  <c:v>46%</c:v>
                </c:pt>
                <c:pt idx="35">
                  <c:v>47%</c:v>
                </c:pt>
                <c:pt idx="36">
                  <c:v>48%</c:v>
                </c:pt>
                <c:pt idx="37">
                  <c:v>49%</c:v>
                </c:pt>
                <c:pt idx="38">
                  <c:v>50%</c:v>
                </c:pt>
                <c:pt idx="39">
                  <c:v>51%</c:v>
                </c:pt>
                <c:pt idx="40">
                  <c:v>52%</c:v>
                </c:pt>
                <c:pt idx="41">
                  <c:v>53%</c:v>
                </c:pt>
                <c:pt idx="42">
                  <c:v>54%</c:v>
                </c:pt>
                <c:pt idx="43">
                  <c:v>55%</c:v>
                </c:pt>
                <c:pt idx="44">
                  <c:v>61%</c:v>
                </c:pt>
                <c:pt idx="45">
                  <c:v>64%</c:v>
                </c:pt>
              </c:strCache>
            </c:strRef>
          </c:cat>
          <c:val>
            <c:numRef>
              <c:f>'Trend Analysis'!$C$6:$C$52</c:f>
              <c:numCache>
                <c:formatCode>General</c:formatCode>
                <c:ptCount val="46"/>
                <c:pt idx="0">
                  <c:v>0</c:v>
                </c:pt>
                <c:pt idx="1">
                  <c:v>0</c:v>
                </c:pt>
                <c:pt idx="2">
                  <c:v>0</c:v>
                </c:pt>
                <c:pt idx="3">
                  <c:v>0</c:v>
                </c:pt>
                <c:pt idx="4">
                  <c:v>0</c:v>
                </c:pt>
                <c:pt idx="5">
                  <c:v>15</c:v>
                </c:pt>
                <c:pt idx="6">
                  <c:v>0</c:v>
                </c:pt>
                <c:pt idx="7">
                  <c:v>6</c:v>
                </c:pt>
                <c:pt idx="8">
                  <c:v>0</c:v>
                </c:pt>
                <c:pt idx="9">
                  <c:v>12</c:v>
                </c:pt>
                <c:pt idx="10">
                  <c:v>5</c:v>
                </c:pt>
                <c:pt idx="11">
                  <c:v>12</c:v>
                </c:pt>
                <c:pt idx="12">
                  <c:v>1</c:v>
                </c:pt>
                <c:pt idx="13">
                  <c:v>16</c:v>
                </c:pt>
                <c:pt idx="14">
                  <c:v>14</c:v>
                </c:pt>
                <c:pt idx="15">
                  <c:v>55</c:v>
                </c:pt>
                <c:pt idx="16">
                  <c:v>24</c:v>
                </c:pt>
                <c:pt idx="17">
                  <c:v>5</c:v>
                </c:pt>
                <c:pt idx="18">
                  <c:v>52</c:v>
                </c:pt>
                <c:pt idx="19">
                  <c:v>5</c:v>
                </c:pt>
                <c:pt idx="20">
                  <c:v>20</c:v>
                </c:pt>
                <c:pt idx="21">
                  <c:v>13</c:v>
                </c:pt>
                <c:pt idx="22">
                  <c:v>9</c:v>
                </c:pt>
                <c:pt idx="23">
                  <c:v>51</c:v>
                </c:pt>
                <c:pt idx="24">
                  <c:v>55</c:v>
                </c:pt>
                <c:pt idx="25">
                  <c:v>0</c:v>
                </c:pt>
                <c:pt idx="26">
                  <c:v>9</c:v>
                </c:pt>
                <c:pt idx="27">
                  <c:v>4</c:v>
                </c:pt>
                <c:pt idx="28">
                  <c:v>5</c:v>
                </c:pt>
                <c:pt idx="29">
                  <c:v>1</c:v>
                </c:pt>
                <c:pt idx="30">
                  <c:v>36</c:v>
                </c:pt>
                <c:pt idx="31">
                  <c:v>6</c:v>
                </c:pt>
                <c:pt idx="32">
                  <c:v>11</c:v>
                </c:pt>
                <c:pt idx="33">
                  <c:v>28</c:v>
                </c:pt>
                <c:pt idx="34">
                  <c:v>3</c:v>
                </c:pt>
                <c:pt idx="35">
                  <c:v>39</c:v>
                </c:pt>
                <c:pt idx="36">
                  <c:v>9</c:v>
                </c:pt>
                <c:pt idx="37">
                  <c:v>118</c:v>
                </c:pt>
                <c:pt idx="38">
                  <c:v>8</c:v>
                </c:pt>
                <c:pt idx="39">
                  <c:v>2</c:v>
                </c:pt>
                <c:pt idx="40">
                  <c:v>24</c:v>
                </c:pt>
                <c:pt idx="41">
                  <c:v>15</c:v>
                </c:pt>
                <c:pt idx="42">
                  <c:v>17</c:v>
                </c:pt>
                <c:pt idx="43">
                  <c:v>18</c:v>
                </c:pt>
                <c:pt idx="44">
                  <c:v>0</c:v>
                </c:pt>
                <c:pt idx="45">
                  <c:v>0</c:v>
                </c:pt>
              </c:numCache>
            </c:numRef>
          </c:val>
          <c:smooth val="0"/>
          <c:extLst>
            <c:ext xmlns:c16="http://schemas.microsoft.com/office/drawing/2014/chart" uri="{C3380CC4-5D6E-409C-BE32-E72D297353CC}">
              <c16:uniqueId val="{00000000-4606-4C24-99CE-93BEC9C5139F}"/>
            </c:ext>
          </c:extLst>
        </c:ser>
        <c:dLbls>
          <c:showLegendKey val="0"/>
          <c:showVal val="0"/>
          <c:showCatName val="0"/>
          <c:showSerName val="0"/>
          <c:showPercent val="0"/>
          <c:showBubbleSize val="0"/>
        </c:dLbls>
        <c:smooth val="0"/>
        <c:axId val="1034226671"/>
        <c:axId val="1034230991"/>
      </c:lineChart>
      <c:catAx>
        <c:axId val="1034226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Discount Percentage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034230991"/>
        <c:crosses val="autoZero"/>
        <c:auto val="0"/>
        <c:lblAlgn val="ctr"/>
        <c:lblOffset val="100"/>
        <c:noMultiLvlLbl val="0"/>
      </c:catAx>
      <c:valAx>
        <c:axId val="1034230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Number of 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22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[Brian Muriithi_COHORT_7_Excel_Jumia_Dashboard.xlsx]Trend Analysis!PivotTable2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i="0" u="none" strike="noStrike" baseline="0">
                <a:solidFill>
                  <a:sysClr val="windowText" lastClr="000000"/>
                </a:solidFill>
              </a:rPr>
              <a:t>Relationship between Rating and Number of Reviews</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'Trend Analysis'!$F$5</c:f>
              <c:strCache>
                <c:ptCount val="1"/>
                <c:pt idx="0">
                  <c:v>Total</c:v>
                </c:pt>
              </c:strCache>
            </c:strRef>
          </c:tx>
          <c:spPr>
            <a:solidFill>
              <a:schemeClr val="accent2"/>
            </a:solidFill>
            <a:ln>
              <a:noFill/>
            </a:ln>
            <a:effectLst/>
          </c:spPr>
          <c:invertIfNegative val="0"/>
          <c:cat>
            <c:strRef>
              <c:f>'Trend Analysis'!$E$6:$E$28</c:f>
              <c:strCache>
                <c:ptCount val="22"/>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strCache>
            </c:strRef>
          </c:cat>
          <c:val>
            <c:numRef>
              <c:f>'Trend Analysis'!$F$6:$F$28</c:f>
              <c:numCache>
                <c:formatCode>General</c:formatCode>
                <c:ptCount val="22"/>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numCache>
            </c:numRef>
          </c:val>
          <c:extLst>
            <c:ext xmlns:c16="http://schemas.microsoft.com/office/drawing/2014/chart" uri="{C3380CC4-5D6E-409C-BE32-E72D297353CC}">
              <c16:uniqueId val="{00000000-DDEC-4F10-A566-462CDD516E6C}"/>
            </c:ext>
          </c:extLst>
        </c:ser>
        <c:dLbls>
          <c:showLegendKey val="0"/>
          <c:showVal val="0"/>
          <c:showCatName val="0"/>
          <c:showSerName val="0"/>
          <c:showPercent val="0"/>
          <c:showBubbleSize val="0"/>
        </c:dLbls>
        <c:gapWidth val="134"/>
        <c:axId val="317208303"/>
        <c:axId val="317208783"/>
      </c:barChart>
      <c:catAx>
        <c:axId val="31720830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Rating</a:t>
                </a:r>
                <a:r>
                  <a:rPr lang="en-GB" b="1" baseline="0"/>
                  <a:t> (out of 5)</a:t>
                </a:r>
                <a:endParaRPr lang="en-GB" b="1"/>
              </a:p>
            </c:rich>
          </c:tx>
          <c:layout>
            <c:manualLayout>
              <c:xMode val="edge"/>
              <c:yMode val="edge"/>
              <c:x val="2.7777777777777776E-2"/>
              <c:y val="0.3842169728783901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8783"/>
        <c:crosses val="autoZero"/>
        <c:auto val="1"/>
        <c:lblAlgn val="ctr"/>
        <c:lblOffset val="100"/>
        <c:noMultiLvlLbl val="0"/>
      </c:catAx>
      <c:valAx>
        <c:axId val="3172087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Number of Reviews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[Brian Muriithi_COHORT_7_Excel_Jumia_Dashboard.xlsx]Descriptive Analysis!PivotTable2</c:name>
    <c:fmtId val="9"/>
  </c:pivotSource>
  <c:chart>
    <c:title>
      <c:tx>
        <c:rich>
          <a:bodyPr rot="0" spcFirstLastPara="1" vertOverflow="ellipsis" vert="horz" wrap="square" anchor="ctr" anchorCtr="1"/>
          <a:lstStyle/>
          <a:p>
            <a:pPr algn="ctr" rtl="0">
              <a:defRPr lang="en-US" sz="1200" b="1" i="0" u="none" strike="noStrike" kern="1200" spc="0" baseline="0">
                <a:solidFill>
                  <a:schemeClr val="tx2">
                    <a:lumMod val="50000"/>
                    <a:lumOff val="50000"/>
                  </a:schemeClr>
                </a:solidFill>
                <a:latin typeface="+mn-lt"/>
                <a:ea typeface="+mn-ea"/>
                <a:cs typeface="+mn-cs"/>
              </a:defRPr>
            </a:pPr>
            <a:r>
              <a:rPr lang="en-US" sz="1200" b="1" i="0" u="none" strike="noStrike" kern="1200" spc="0" baseline="0">
                <a:solidFill>
                  <a:sysClr val="windowText" lastClr="000000"/>
                </a:solidFill>
                <a:latin typeface="+mn-lt"/>
                <a:ea typeface="+mn-ea"/>
                <a:cs typeface="+mn-cs"/>
              </a:rPr>
              <a:t>Product Distribution Across Discount Category</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2">
                  <a:lumMod val="50000"/>
                  <a:lumOff val="50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tint val="65000"/>
            </a:schemeClr>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hade val="65000"/>
            </a:schemeClr>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tint val="65000"/>
            </a:schemeClr>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hade val="65000"/>
            </a:schemeClr>
          </a:solidFill>
          <a:ln w="19050">
            <a:solidFill>
              <a:schemeClr val="lt1"/>
            </a:solidFill>
          </a:ln>
          <a:effectLst/>
        </c:spPr>
      </c:pivotFmt>
    </c:pivotFmts>
    <c:plotArea>
      <c:layout>
        <c:manualLayout>
          <c:layoutTarget val="inner"/>
          <c:xMode val="edge"/>
          <c:yMode val="edge"/>
          <c:x val="6.2521725669009862E-2"/>
          <c:y val="0.30005385690425063"/>
          <c:w val="0.48800426421228177"/>
          <c:h val="0.52761040739472786"/>
        </c:manualLayout>
      </c:layout>
      <c:pieChart>
        <c:varyColors val="1"/>
        <c:ser>
          <c:idx val="0"/>
          <c:order val="0"/>
          <c:tx>
            <c:strRef>
              <c:f>'Descriptive Analysis'!$C$25</c:f>
              <c:strCache>
                <c:ptCount val="1"/>
                <c:pt idx="0">
                  <c:v>Total</c:v>
                </c:pt>
              </c:strCache>
            </c:strRef>
          </c:tx>
          <c:dPt>
            <c:idx val="0"/>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1-0E0E-48A8-967E-ADA53FDA5B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0E-48A8-967E-ADA53FDA5BBF}"/>
              </c:ext>
            </c:extLst>
          </c:dPt>
          <c:dPt>
            <c:idx val="2"/>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5-0E0E-48A8-967E-ADA53FDA5BBF}"/>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'Descriptive Analysis'!$B$26:$B$29</c:f>
              <c:strCache>
                <c:ptCount val="3"/>
                <c:pt idx="0">
                  <c:v>High Discount</c:v>
                </c:pt>
                <c:pt idx="1">
                  <c:v>Low Discount</c:v>
                </c:pt>
                <c:pt idx="2">
                  <c:v>Medium Discount</c:v>
                </c:pt>
              </c:strCache>
            </c:strRef>
          </c:cat>
          <c:val>
            <c:numRef>
              <c:f>'Descriptive Analysis'!$C$26:$C$29</c:f>
              <c:numCache>
                <c:formatCode>General</c:formatCode>
                <c:ptCount val="3"/>
                <c:pt idx="0">
                  <c:v>59</c:v>
                </c:pt>
                <c:pt idx="1">
                  <c:v>18</c:v>
                </c:pt>
                <c:pt idx="2">
                  <c:v>32</c:v>
                </c:pt>
              </c:numCache>
            </c:numRef>
          </c:val>
          <c:extLst>
            <c:ext xmlns:c16="http://schemas.microsoft.com/office/drawing/2014/chart" uri="{C3380CC4-5D6E-409C-BE32-E72D297353CC}">
              <c16:uniqueId val="{00000006-0E0E-48A8-967E-ADA53FDA5BB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6758218649968462"/>
          <c:y val="0.3650966356478168"/>
          <c:w val="0.4011398241391933"/>
          <c:h val="0.219157378055015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[Brian Muriithi_COHORT_7_Excel_Jumia_Dashboard.xlsx]Descriptive Analysis!PivotTable3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Product Distribution Across</a:t>
            </a:r>
            <a:r>
              <a:rPr lang="en-US" sz="1200" b="1" baseline="0">
                <a:solidFill>
                  <a:sysClr val="windowText" lastClr="000000"/>
                </a:solidFill>
              </a:rPr>
              <a:t> Rating Categories</a:t>
            </a:r>
            <a:r>
              <a:rPr lang="en-US" sz="1200" b="1">
                <a:solidFill>
                  <a:sysClr val="windowText" lastClr="000000"/>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hade val="65000"/>
            </a:schemeClr>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tint val="65000"/>
            </a:schemeClr>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hade val="65000"/>
            </a:schemeClr>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tint val="86000"/>
            </a:schemeClr>
          </a:solidFill>
          <a:ln w="19050">
            <a:solidFill>
              <a:schemeClr val="lt1"/>
            </a:solidFill>
          </a:ln>
          <a:effectLst/>
        </c:spPr>
      </c:pivotFmt>
      <c:pivotFmt>
        <c:idx val="8"/>
        <c:spPr>
          <a:solidFill>
            <a:schemeClr val="accent2">
              <a:tint val="65000"/>
            </a:schemeClr>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hade val="65000"/>
            </a:schemeClr>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tint val="86000"/>
            </a:schemeClr>
          </a:solidFill>
          <a:ln w="19050">
            <a:solidFill>
              <a:schemeClr val="lt1"/>
            </a:solidFill>
          </a:ln>
          <a:effectLst/>
        </c:spPr>
      </c:pivotFmt>
      <c:pivotFmt>
        <c:idx val="13"/>
        <c:spPr>
          <a:solidFill>
            <a:schemeClr val="accent2">
              <a:tint val="65000"/>
            </a:schemeClr>
          </a:solidFill>
          <a:ln w="19050">
            <a:solidFill>
              <a:schemeClr val="lt1"/>
            </a:solidFill>
          </a:ln>
          <a:effectLst/>
        </c:spPr>
      </c:pivotFmt>
    </c:pivotFmts>
    <c:plotArea>
      <c:layout>
        <c:manualLayout>
          <c:layoutTarget val="inner"/>
          <c:xMode val="edge"/>
          <c:yMode val="edge"/>
          <c:x val="8.2501503718285199E-2"/>
          <c:y val="0.25220203773740879"/>
          <c:w val="0.51933778519755147"/>
          <c:h val="0.8069606571552097"/>
        </c:manualLayout>
      </c:layout>
      <c:pieChart>
        <c:varyColors val="1"/>
        <c:ser>
          <c:idx val="0"/>
          <c:order val="0"/>
          <c:tx>
            <c:strRef>
              <c:f>'Descriptive Analysis'!$H$24</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B78F-46A1-A589-D3143696A5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8F-46A1-A589-D3143696A514}"/>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B78F-46A1-A589-D3143696A514}"/>
              </c:ext>
            </c:extLst>
          </c:dPt>
          <c:dPt>
            <c:idx val="3"/>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7-B78F-46A1-A589-D3143696A514}"/>
              </c:ext>
            </c:extLst>
          </c:dPt>
          <c:dLbls>
            <c:spPr>
              <a:no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'Descriptive Analysis'!$G$25:$G$29</c:f>
              <c:strCache>
                <c:ptCount val="4"/>
                <c:pt idx="0">
                  <c:v>Average</c:v>
                </c:pt>
                <c:pt idx="1">
                  <c:v>Excellent</c:v>
                </c:pt>
                <c:pt idx="2">
                  <c:v>NA</c:v>
                </c:pt>
                <c:pt idx="3">
                  <c:v>Poor</c:v>
                </c:pt>
              </c:strCache>
            </c:strRef>
          </c:cat>
          <c:val>
            <c:numRef>
              <c:f>'Descriptive Analysis'!$H$25:$H$29</c:f>
              <c:numCache>
                <c:formatCode>General</c:formatCode>
                <c:ptCount val="4"/>
                <c:pt idx="0">
                  <c:v>22</c:v>
                </c:pt>
                <c:pt idx="1">
                  <c:v>23</c:v>
                </c:pt>
                <c:pt idx="2">
                  <c:v>52</c:v>
                </c:pt>
                <c:pt idx="3">
                  <c:v>12</c:v>
                </c:pt>
              </c:numCache>
            </c:numRef>
          </c:val>
          <c:extLst>
            <c:ext xmlns:c16="http://schemas.microsoft.com/office/drawing/2014/chart" uri="{C3380CC4-5D6E-409C-BE32-E72D297353CC}">
              <c16:uniqueId val="{00000008-B78F-46A1-A589-D3143696A51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7981018974190732"/>
          <c:y val="0.4273830436549762"/>
          <c:w val="0.21168286581364829"/>
          <c:h val="0.295277657221981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[Brian Muriithi_COHORT_7_Excel_Jumia_Dashboard.xlsx]Descriptive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2">
                    <a:lumMod val="50000"/>
                    <a:lumOff val="50000"/>
                  </a:schemeClr>
                </a:solidFill>
              </a:rPr>
              <a:t>Product Distribution Across</a:t>
            </a:r>
            <a:r>
              <a:rPr lang="en-US" sz="1200" b="1" baseline="0">
                <a:solidFill>
                  <a:schemeClr val="tx2">
                    <a:lumMod val="50000"/>
                    <a:lumOff val="50000"/>
                  </a:schemeClr>
                </a:solidFill>
              </a:rPr>
              <a:t> Rating Categories</a:t>
            </a:r>
            <a:r>
              <a:rPr lang="en-US" sz="1200" b="1">
                <a:solidFill>
                  <a:schemeClr val="tx2">
                    <a:lumMod val="50000"/>
                    <a:lumOff val="50000"/>
                  </a:schemeClr>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hade val="65000"/>
            </a:schemeClr>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tint val="65000"/>
            </a:schemeClr>
          </a:solidFill>
          <a:ln w="19050">
            <a:solidFill>
              <a:schemeClr val="lt1"/>
            </a:solidFill>
          </a:ln>
          <a:effectLst/>
        </c:spPr>
      </c:pivotFmt>
      <c:pivotFmt>
        <c:idx val="4"/>
        <c:spPr>
          <a:solidFill>
            <a:schemeClr val="accent2">
              <a:tint val="86000"/>
            </a:schemeClr>
          </a:solidFill>
          <a:ln w="19050">
            <a:solidFill>
              <a:schemeClr val="lt1"/>
            </a:solidFill>
          </a:ln>
          <a:effectLst/>
        </c:spPr>
      </c:pivotFmt>
    </c:pivotFmts>
    <c:plotArea>
      <c:layout>
        <c:manualLayout>
          <c:layoutTarget val="inner"/>
          <c:xMode val="edge"/>
          <c:yMode val="edge"/>
          <c:x val="0.12590428491930997"/>
          <c:y val="0.14980544747081712"/>
          <c:w val="0.51933778519755147"/>
          <c:h val="0.8069606571552097"/>
        </c:manualLayout>
      </c:layout>
      <c:pieChart>
        <c:varyColors val="1"/>
        <c:ser>
          <c:idx val="0"/>
          <c:order val="0"/>
          <c:tx>
            <c:strRef>
              <c:f>'Descriptive Analysis'!$H$24</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00CF-4154-8A2B-CF9CD9CDF8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CF-4154-8A2B-CF9CD9CDF81A}"/>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00CF-4154-8A2B-CF9CD9CDF81A}"/>
              </c:ext>
            </c:extLst>
          </c:dPt>
          <c:dPt>
            <c:idx val="3"/>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7-9AA0-4F41-A97F-8B397207C53B}"/>
              </c:ext>
            </c:extLst>
          </c:dPt>
          <c:dLbls>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'Descriptive Analysis'!$G$25:$G$29</c:f>
              <c:strCache>
                <c:ptCount val="4"/>
                <c:pt idx="0">
                  <c:v>Average</c:v>
                </c:pt>
                <c:pt idx="1">
                  <c:v>Excellent</c:v>
                </c:pt>
                <c:pt idx="2">
                  <c:v>NA</c:v>
                </c:pt>
                <c:pt idx="3">
                  <c:v>Poor</c:v>
                </c:pt>
              </c:strCache>
            </c:strRef>
          </c:cat>
          <c:val>
            <c:numRef>
              <c:f>'Descriptive Analysis'!$H$25:$H$29</c:f>
              <c:numCache>
                <c:formatCode>General</c:formatCode>
                <c:ptCount val="4"/>
                <c:pt idx="0">
                  <c:v>22</c:v>
                </c:pt>
                <c:pt idx="1">
                  <c:v>23</c:v>
                </c:pt>
                <c:pt idx="2">
                  <c:v>52</c:v>
                </c:pt>
                <c:pt idx="3">
                  <c:v>12</c:v>
                </c:pt>
              </c:numCache>
            </c:numRef>
          </c:val>
          <c:extLst>
            <c:ext xmlns:c16="http://schemas.microsoft.com/office/drawing/2014/chart" uri="{C3380CC4-5D6E-409C-BE32-E72D297353CC}">
              <c16:uniqueId val="{00000000-A321-4740-B4BD-7610CD7E8A6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[Brian Muriithi_COHORT_7_Excel_Jumia_Dashboard.xlsx]Descriptive Analysis!PivotTable2</c:name>
    <c:fmtId val="0"/>
  </c:pivotSource>
  <c:chart>
    <c:title>
      <c:tx>
        <c:rich>
          <a:bodyPr rot="0" spcFirstLastPara="1" vertOverflow="ellipsis" vert="horz" wrap="square" anchor="ctr" anchorCtr="1"/>
          <a:lstStyle/>
          <a:p>
            <a:pPr algn="ctr" rtl="0">
              <a:defRPr lang="en-US" sz="1200" b="1" i="0" u="none" strike="noStrike" kern="1200" spc="0" baseline="0">
                <a:solidFill>
                  <a:schemeClr val="tx2">
                    <a:lumMod val="50000"/>
                    <a:lumOff val="50000"/>
                  </a:schemeClr>
                </a:solidFill>
                <a:latin typeface="+mn-lt"/>
                <a:ea typeface="+mn-ea"/>
                <a:cs typeface="+mn-cs"/>
              </a:defRPr>
            </a:pPr>
            <a:r>
              <a:rPr lang="en-US" sz="1200" b="1" i="0" u="none" strike="noStrike" kern="1200" spc="0" baseline="0">
                <a:solidFill>
                  <a:schemeClr val="tx2">
                    <a:lumMod val="50000"/>
                    <a:lumOff val="50000"/>
                  </a:schemeClr>
                </a:solidFill>
                <a:latin typeface="+mn-lt"/>
                <a:ea typeface="+mn-ea"/>
                <a:cs typeface="+mn-cs"/>
              </a:rPr>
              <a:t>Product Distribution Across Discount Category</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2">
                  <a:lumMod val="50000"/>
                  <a:lumOff val="50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tint val="65000"/>
            </a:schemeClr>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hade val="65000"/>
            </a:schemeClr>
          </a:solidFill>
          <a:ln w="19050">
            <a:solidFill>
              <a:schemeClr val="lt1"/>
            </a:solidFill>
          </a:ln>
          <a:effectLst/>
        </c:spPr>
      </c:pivotFmt>
    </c:pivotFmts>
    <c:plotArea>
      <c:layout/>
      <c:pieChart>
        <c:varyColors val="1"/>
        <c:ser>
          <c:idx val="0"/>
          <c:order val="0"/>
          <c:tx>
            <c:strRef>
              <c:f>'Descriptive Analysis'!$C$25</c:f>
              <c:strCache>
                <c:ptCount val="1"/>
                <c:pt idx="0">
                  <c:v>Total</c:v>
                </c:pt>
              </c:strCache>
            </c:strRef>
          </c:tx>
          <c:dPt>
            <c:idx val="0"/>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1-EBF8-432E-B1FA-90D091C6ED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F8-432E-B1FA-90D091C6EDD8}"/>
              </c:ext>
            </c:extLst>
          </c:dPt>
          <c:dPt>
            <c:idx val="2"/>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5-EBF8-432E-B1FA-90D091C6EDD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'Descriptive Analysis'!$B$26:$B$29</c:f>
              <c:strCache>
                <c:ptCount val="3"/>
                <c:pt idx="0">
                  <c:v>High Discount</c:v>
                </c:pt>
                <c:pt idx="1">
                  <c:v>Low Discount</c:v>
                </c:pt>
                <c:pt idx="2">
                  <c:v>Medium Discount</c:v>
                </c:pt>
              </c:strCache>
            </c:strRef>
          </c:cat>
          <c:val>
            <c:numRef>
              <c:f>'Descriptive Analysis'!$C$26:$C$29</c:f>
              <c:numCache>
                <c:formatCode>General</c:formatCode>
                <c:ptCount val="3"/>
                <c:pt idx="0">
                  <c:v>59</c:v>
                </c:pt>
                <c:pt idx="1">
                  <c:v>18</c:v>
                </c:pt>
                <c:pt idx="2">
                  <c:v>32</c:v>
                </c:pt>
              </c:numCache>
            </c:numRef>
          </c:val>
          <c:extLst>
            <c:ext xmlns:c16="http://schemas.microsoft.com/office/drawing/2014/chart" uri="{C3380CC4-5D6E-409C-BE32-E72D297353CC}">
              <c16:uniqueId val="{00000000-29F7-4196-A188-7CCDE61EC1A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[Brian Muriithi_COHORT_7_Excel_Jumia_Dashboard.xlsx]Trend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i="0" u="none" strike="noStrike" baseline="0">
                <a:solidFill>
                  <a:sysClr val="windowText" lastClr="000000"/>
                </a:solidFill>
              </a:rPr>
              <a:t>Relationship between discount percentage and number of reviews</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Analysis'!$C$5</c:f>
              <c:strCache>
                <c:ptCount val="1"/>
                <c:pt idx="0">
                  <c:v>Total</c:v>
                </c:pt>
              </c:strCache>
            </c:strRef>
          </c:tx>
          <c:spPr>
            <a:ln w="28575" cap="rnd">
              <a:solidFill>
                <a:schemeClr val="accent2"/>
              </a:solidFill>
              <a:round/>
            </a:ln>
            <a:effectLst/>
          </c:spPr>
          <c:marker>
            <c:symbol val="none"/>
          </c:marker>
          <c:cat>
            <c:strRef>
              <c:f>'Trend Analysis'!$B$6:$B$52</c:f>
              <c:strCache>
                <c:ptCount val="46"/>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38%</c:v>
                </c:pt>
                <c:pt idx="28">
                  <c:v>39%</c:v>
                </c:pt>
                <c:pt idx="29">
                  <c:v>40%</c:v>
                </c:pt>
                <c:pt idx="30">
                  <c:v>41%</c:v>
                </c:pt>
                <c:pt idx="31">
                  <c:v>42%</c:v>
                </c:pt>
                <c:pt idx="32">
                  <c:v>43%</c:v>
                </c:pt>
                <c:pt idx="33">
                  <c:v>45%</c:v>
                </c:pt>
                <c:pt idx="34">
                  <c:v>46%</c:v>
                </c:pt>
                <c:pt idx="35">
                  <c:v>47%</c:v>
                </c:pt>
                <c:pt idx="36">
                  <c:v>48%</c:v>
                </c:pt>
                <c:pt idx="37">
                  <c:v>49%</c:v>
                </c:pt>
                <c:pt idx="38">
                  <c:v>50%</c:v>
                </c:pt>
                <c:pt idx="39">
                  <c:v>51%</c:v>
                </c:pt>
                <c:pt idx="40">
                  <c:v>52%</c:v>
                </c:pt>
                <c:pt idx="41">
                  <c:v>53%</c:v>
                </c:pt>
                <c:pt idx="42">
                  <c:v>54%</c:v>
                </c:pt>
                <c:pt idx="43">
                  <c:v>55%</c:v>
                </c:pt>
                <c:pt idx="44">
                  <c:v>61%</c:v>
                </c:pt>
                <c:pt idx="45">
                  <c:v>64%</c:v>
                </c:pt>
              </c:strCache>
            </c:strRef>
          </c:cat>
          <c:val>
            <c:numRef>
              <c:f>'Trend Analysis'!$C$6:$C$52</c:f>
              <c:numCache>
                <c:formatCode>General</c:formatCode>
                <c:ptCount val="46"/>
                <c:pt idx="0">
                  <c:v>0</c:v>
                </c:pt>
                <c:pt idx="1">
                  <c:v>0</c:v>
                </c:pt>
                <c:pt idx="2">
                  <c:v>0</c:v>
                </c:pt>
                <c:pt idx="3">
                  <c:v>0</c:v>
                </c:pt>
                <c:pt idx="4">
                  <c:v>0</c:v>
                </c:pt>
                <c:pt idx="5">
                  <c:v>15</c:v>
                </c:pt>
                <c:pt idx="6">
                  <c:v>0</c:v>
                </c:pt>
                <c:pt idx="7">
                  <c:v>6</c:v>
                </c:pt>
                <c:pt idx="8">
                  <c:v>0</c:v>
                </c:pt>
                <c:pt idx="9">
                  <c:v>12</c:v>
                </c:pt>
                <c:pt idx="10">
                  <c:v>5</c:v>
                </c:pt>
                <c:pt idx="11">
                  <c:v>12</c:v>
                </c:pt>
                <c:pt idx="12">
                  <c:v>1</c:v>
                </c:pt>
                <c:pt idx="13">
                  <c:v>16</c:v>
                </c:pt>
                <c:pt idx="14">
                  <c:v>14</c:v>
                </c:pt>
                <c:pt idx="15">
                  <c:v>55</c:v>
                </c:pt>
                <c:pt idx="16">
                  <c:v>24</c:v>
                </c:pt>
                <c:pt idx="17">
                  <c:v>5</c:v>
                </c:pt>
                <c:pt idx="18">
                  <c:v>52</c:v>
                </c:pt>
                <c:pt idx="19">
                  <c:v>5</c:v>
                </c:pt>
                <c:pt idx="20">
                  <c:v>20</c:v>
                </c:pt>
                <c:pt idx="21">
                  <c:v>13</c:v>
                </c:pt>
                <c:pt idx="22">
                  <c:v>9</c:v>
                </c:pt>
                <c:pt idx="23">
                  <c:v>51</c:v>
                </c:pt>
                <c:pt idx="24">
                  <c:v>55</c:v>
                </c:pt>
                <c:pt idx="25">
                  <c:v>0</c:v>
                </c:pt>
                <c:pt idx="26">
                  <c:v>9</c:v>
                </c:pt>
                <c:pt idx="27">
                  <c:v>4</c:v>
                </c:pt>
                <c:pt idx="28">
                  <c:v>5</c:v>
                </c:pt>
                <c:pt idx="29">
                  <c:v>1</c:v>
                </c:pt>
                <c:pt idx="30">
                  <c:v>36</c:v>
                </c:pt>
                <c:pt idx="31">
                  <c:v>6</c:v>
                </c:pt>
                <c:pt idx="32">
                  <c:v>11</c:v>
                </c:pt>
                <c:pt idx="33">
                  <c:v>28</c:v>
                </c:pt>
                <c:pt idx="34">
                  <c:v>3</c:v>
                </c:pt>
                <c:pt idx="35">
                  <c:v>39</c:v>
                </c:pt>
                <c:pt idx="36">
                  <c:v>9</c:v>
                </c:pt>
                <c:pt idx="37">
                  <c:v>118</c:v>
                </c:pt>
                <c:pt idx="38">
                  <c:v>8</c:v>
                </c:pt>
                <c:pt idx="39">
                  <c:v>2</c:v>
                </c:pt>
                <c:pt idx="40">
                  <c:v>24</c:v>
                </c:pt>
                <c:pt idx="41">
                  <c:v>15</c:v>
                </c:pt>
                <c:pt idx="42">
                  <c:v>17</c:v>
                </c:pt>
                <c:pt idx="43">
                  <c:v>18</c:v>
                </c:pt>
                <c:pt idx="44">
                  <c:v>0</c:v>
                </c:pt>
                <c:pt idx="45">
                  <c:v>0</c:v>
                </c:pt>
              </c:numCache>
            </c:numRef>
          </c:val>
          <c:smooth val="0"/>
          <c:extLst>
            <c:ext xmlns:c16="http://schemas.microsoft.com/office/drawing/2014/chart" uri="{C3380CC4-5D6E-409C-BE32-E72D297353CC}">
              <c16:uniqueId val="{00000000-C835-4A4D-80E3-D9007C390508}"/>
            </c:ext>
          </c:extLst>
        </c:ser>
        <c:dLbls>
          <c:showLegendKey val="0"/>
          <c:showVal val="0"/>
          <c:showCatName val="0"/>
          <c:showSerName val="0"/>
          <c:showPercent val="0"/>
          <c:showBubbleSize val="0"/>
        </c:dLbls>
        <c:smooth val="0"/>
        <c:axId val="1034226671"/>
        <c:axId val="1034230991"/>
      </c:lineChart>
      <c:catAx>
        <c:axId val="1034226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Discount Percentage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034230991"/>
        <c:crosses val="autoZero"/>
        <c:auto val="0"/>
        <c:lblAlgn val="ctr"/>
        <c:lblOffset val="100"/>
        <c:noMultiLvlLbl val="0"/>
      </c:catAx>
      <c:valAx>
        <c:axId val="1034230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Number of 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22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[Brian Muriithi_COHORT_7_Excel_Jumia_Dashboard.xlsx]Trend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i="0" u="none" strike="noStrike" baseline="0">
                <a:solidFill>
                  <a:sysClr val="windowText" lastClr="000000"/>
                </a:solidFill>
              </a:rPr>
              <a:t>Relationship between Rating and Number of Reviews</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'Trend Analysis'!$F$5</c:f>
              <c:strCache>
                <c:ptCount val="1"/>
                <c:pt idx="0">
                  <c:v>Total</c:v>
                </c:pt>
              </c:strCache>
            </c:strRef>
          </c:tx>
          <c:spPr>
            <a:solidFill>
              <a:schemeClr val="accent2"/>
            </a:solidFill>
            <a:ln>
              <a:noFill/>
            </a:ln>
            <a:effectLst/>
          </c:spPr>
          <c:invertIfNegative val="0"/>
          <c:cat>
            <c:strRef>
              <c:f>'Trend Analysis'!$E$6:$E$28</c:f>
              <c:strCache>
                <c:ptCount val="22"/>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strCache>
            </c:strRef>
          </c:cat>
          <c:val>
            <c:numRef>
              <c:f>'Trend Analysis'!$F$6:$F$28</c:f>
              <c:numCache>
                <c:formatCode>General</c:formatCode>
                <c:ptCount val="22"/>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numCache>
            </c:numRef>
          </c:val>
          <c:extLst>
            <c:ext xmlns:c16="http://schemas.microsoft.com/office/drawing/2014/chart" uri="{C3380CC4-5D6E-409C-BE32-E72D297353CC}">
              <c16:uniqueId val="{00000000-DE84-43C4-9B9B-3900190DF25B}"/>
            </c:ext>
          </c:extLst>
        </c:ser>
        <c:dLbls>
          <c:showLegendKey val="0"/>
          <c:showVal val="0"/>
          <c:showCatName val="0"/>
          <c:showSerName val="0"/>
          <c:showPercent val="0"/>
          <c:showBubbleSize val="0"/>
        </c:dLbls>
        <c:gapWidth val="134"/>
        <c:axId val="317208303"/>
        <c:axId val="317208783"/>
      </c:barChart>
      <c:catAx>
        <c:axId val="31720830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Rating</a:t>
                </a:r>
                <a:r>
                  <a:rPr lang="en-GB" b="1" baseline="0"/>
                  <a:t> (out of 5)</a:t>
                </a:r>
                <a:endParaRPr lang="en-GB" b="1"/>
              </a:p>
            </c:rich>
          </c:tx>
          <c:layout>
            <c:manualLayout>
              <c:xMode val="edge"/>
              <c:yMode val="edge"/>
              <c:x val="2.7777777777777776E-2"/>
              <c:y val="0.3842169728783901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8783"/>
        <c:crosses val="autoZero"/>
        <c:auto val="1"/>
        <c:lblAlgn val="ctr"/>
        <c:lblOffset val="100"/>
        <c:noMultiLvlLbl val="0"/>
      </c:catAx>
      <c:valAx>
        <c:axId val="3172087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Number of Reviews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0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[Brian Muriithi_COHORT_7_Excel_Jumia_Dashboard.xlsx]Trend Analysis!PivotTable3</c:name>
    <c:fmtId val="0"/>
  </c:pivotSource>
  <c:chart>
    <c:title>
      <c:tx>
        <c:rich>
          <a:bodyPr rot="0" spcFirstLastPara="1" vertOverflow="ellipsis" vert="horz" wrap="square" anchor="ctr" anchorCtr="1"/>
          <a:lstStyle/>
          <a:p>
            <a:pPr algn="ctr" rtl="0">
              <a:defRPr lang="en-US" sz="1200" b="1" i="0" u="none" strike="noStrike" kern="1200" spc="0" baseline="0">
                <a:solidFill>
                  <a:schemeClr val="accent4"/>
                </a:solidFill>
                <a:latin typeface="+mn-lt"/>
                <a:ea typeface="+mn-ea"/>
                <a:cs typeface="+mn-cs"/>
              </a:defRPr>
            </a:pPr>
            <a:r>
              <a:rPr lang="en-US" sz="1200" b="1" i="0" u="none" strike="noStrike" kern="1200" spc="0" baseline="0">
                <a:solidFill>
                  <a:sysClr val="windowText" lastClr="000000"/>
                </a:solidFill>
                <a:latin typeface="+mn-lt"/>
                <a:ea typeface="+mn-ea"/>
                <a:cs typeface="+mn-cs"/>
              </a:rPr>
              <a:t>Top Products by Number of Reviews</a:t>
            </a:r>
          </a:p>
        </c:rich>
      </c:tx>
      <c:layout>
        <c:manualLayout>
          <c:xMode val="edge"/>
          <c:yMode val="edge"/>
          <c:x val="0.22701377952755908"/>
          <c:y val="2.3148148148148147E-2"/>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'Trend Analysis'!$F$43</c:f>
              <c:strCache>
                <c:ptCount val="1"/>
                <c:pt idx="0">
                  <c:v>Total</c:v>
                </c:pt>
              </c:strCache>
            </c:strRef>
          </c:tx>
          <c:spPr>
            <a:solidFill>
              <a:schemeClr val="accent2"/>
            </a:solidFill>
            <a:ln>
              <a:noFill/>
            </a:ln>
            <a:effectLst/>
          </c:spPr>
          <c:invertIfNegative val="0"/>
          <c:cat>
            <c:strRef>
              <c:f>'Trend Analysis'!$E$44:$E$53</c:f>
              <c:strCache>
                <c:ptCount val="10"/>
                <c:pt idx="0">
                  <c:v>52 Pieces Cake Decorating Tool Set Gift Kit Baking Supplies</c:v>
                </c:pt>
                <c:pt idx="1">
                  <c:v>53Pcs/Set Yarn Knitting Crochet Hooks With Bag - Fortune Cat</c:v>
                </c:pt>
                <c:pt idx="2">
                  <c:v>Portable Mini Cordless Car Vacuum Cleaner - Blue</c:v>
                </c:pt>
                <c:pt idx="3">
                  <c:v>53 Pieces/Set Yarn Knitting Crochet Hooks With Bag - Pansies</c:v>
                </c:pt>
                <c:pt idx="4">
                  <c:v>Punch-free Great Load Bearing Bathroom Storage Rack Wall Shelf-White</c:v>
                </c:pt>
                <c:pt idx="5">
                  <c:v>100 Pcs Crochet Hook Tool Set Knitting Hook Set With Box</c:v>
                </c:pt>
                <c:pt idx="6">
                  <c:v>3D Waterproof EVA Plastic Shower Curtain 1.8*2Mtrs</c:v>
                </c:pt>
                <c:pt idx="7">
                  <c:v>Electronic Digital Display Vernier Caliper</c:v>
                </c:pt>
                <c:pt idx="8">
                  <c:v>137 Pieces Cake Decorating Tool Set Baking Supplies</c:v>
                </c:pt>
                <c:pt idx="9">
                  <c:v>120W Cordless Vacuum Cleaners Handheld Electric Vacuum Cleaner</c:v>
                </c:pt>
              </c:strCache>
            </c:strRef>
          </c:cat>
          <c:val>
            <c:numRef>
              <c:f>'Trend Analysis'!$F$44:$F$53</c:f>
              <c:numCache>
                <c:formatCode>General</c:formatCode>
                <c:ptCount val="10"/>
                <c:pt idx="0">
                  <c:v>20</c:v>
                </c:pt>
                <c:pt idx="1">
                  <c:v>20</c:v>
                </c:pt>
                <c:pt idx="2">
                  <c:v>24</c:v>
                </c:pt>
                <c:pt idx="3">
                  <c:v>32</c:v>
                </c:pt>
                <c:pt idx="4">
                  <c:v>36</c:v>
                </c:pt>
                <c:pt idx="5">
                  <c:v>39</c:v>
                </c:pt>
                <c:pt idx="6">
                  <c:v>44</c:v>
                </c:pt>
                <c:pt idx="7">
                  <c:v>49</c:v>
                </c:pt>
                <c:pt idx="8">
                  <c:v>55</c:v>
                </c:pt>
                <c:pt idx="9">
                  <c:v>69</c:v>
                </c:pt>
              </c:numCache>
            </c:numRef>
          </c:val>
          <c:extLst>
            <c:ext xmlns:c16="http://schemas.microsoft.com/office/drawing/2014/chart" uri="{C3380CC4-5D6E-409C-BE32-E72D297353CC}">
              <c16:uniqueId val="{00000000-F904-4F87-95A8-372577130B91}"/>
            </c:ext>
          </c:extLst>
        </c:ser>
        <c:dLbls>
          <c:showLegendKey val="0"/>
          <c:showVal val="0"/>
          <c:showCatName val="0"/>
          <c:showSerName val="0"/>
          <c:showPercent val="0"/>
          <c:showBubbleSize val="0"/>
        </c:dLbls>
        <c:gapWidth val="195"/>
        <c:axId val="826257216"/>
        <c:axId val="826257696"/>
      </c:barChart>
      <c:catAx>
        <c:axId val="826257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257696"/>
        <c:crosses val="autoZero"/>
        <c:auto val="1"/>
        <c:lblAlgn val="ctr"/>
        <c:lblOffset val="100"/>
        <c:noMultiLvlLbl val="0"/>
      </c:catAx>
      <c:valAx>
        <c:axId val="8262576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lang="en-GB" sz="1000" b="1" i="0" u="none" strike="noStrike" kern="1200" baseline="0">
                    <a:solidFill>
                      <a:sysClr val="windowText" lastClr="000000">
                        <a:lumMod val="65000"/>
                        <a:lumOff val="35000"/>
                      </a:sysClr>
                    </a:solidFill>
                    <a:latin typeface="+mn-lt"/>
                    <a:ea typeface="+mn-ea"/>
                    <a:cs typeface="+mn-cs"/>
                  </a:defRPr>
                </a:pPr>
                <a:r>
                  <a:rPr lang="en-GB" sz="1000" b="1" i="0" u="none" strike="noStrike" kern="1200" baseline="0">
                    <a:solidFill>
                      <a:sysClr val="windowText" lastClr="000000">
                        <a:lumMod val="65000"/>
                        <a:lumOff val="35000"/>
                      </a:sysClr>
                    </a:solidFill>
                    <a:latin typeface="+mn-lt"/>
                    <a:ea typeface="+mn-ea"/>
                    <a:cs typeface="+mn-cs"/>
                  </a:rPr>
                  <a:t>Total Reviews</a:t>
                </a:r>
              </a:p>
            </c:rich>
          </c:tx>
          <c:overlay val="0"/>
          <c:spPr>
            <a:noFill/>
            <a:ln>
              <a:noFill/>
            </a:ln>
            <a:effectLst/>
          </c:spPr>
          <c:txPr>
            <a:bodyPr rot="0" spcFirstLastPara="1" vertOverflow="ellipsis" vert="horz" wrap="square" anchor="ctr" anchorCtr="1"/>
            <a:lstStyle/>
            <a:p>
              <a:pPr algn="ctr" rtl="0">
                <a:defRPr lang="en-GB" sz="1000" b="1"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25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[Brian Muriithi_COHORT_7_Excel_Jumia_Dashboard.xlsx]Product Performance Analysis!PivotTable3</c:name>
    <c:fmtId val="0"/>
  </c:pivotSource>
  <c:chart>
    <c:title>
      <c:tx>
        <c:rich>
          <a:bodyPr rot="0" spcFirstLastPara="1" vertOverflow="ellipsis" vert="horz" wrap="square" anchor="ctr" anchorCtr="1"/>
          <a:lstStyle/>
          <a:p>
            <a:pPr>
              <a:defRPr sz="1200" b="1" i="0" u="none" strike="noStrike" kern="1200" spc="0" baseline="0">
                <a:solidFill>
                  <a:schemeClr val="accent4"/>
                </a:solidFill>
                <a:latin typeface="+mn-lt"/>
                <a:ea typeface="+mn-ea"/>
                <a:cs typeface="+mn-cs"/>
              </a:defRPr>
            </a:pPr>
            <a:r>
              <a:rPr lang="en-US" sz="1200" b="1">
                <a:solidFill>
                  <a:schemeClr val="accent4"/>
                </a:solidFill>
              </a:rPr>
              <a:t>Top 10 Products by Discount Amount </a:t>
            </a:r>
          </a:p>
        </c:rich>
      </c:tx>
      <c:layout>
        <c:manualLayout>
          <c:xMode val="edge"/>
          <c:yMode val="edge"/>
          <c:x val="0.24093744531933509"/>
          <c:y val="2.7777777777777776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Performance Analysis'!$C$5</c:f>
              <c:strCache>
                <c:ptCount val="1"/>
                <c:pt idx="0">
                  <c:v>Total</c:v>
                </c:pt>
              </c:strCache>
            </c:strRef>
          </c:tx>
          <c:spPr>
            <a:solidFill>
              <a:schemeClr val="accent2"/>
            </a:solidFill>
            <a:ln>
              <a:noFill/>
            </a:ln>
            <a:effectLst/>
          </c:spPr>
          <c:invertIfNegative val="0"/>
          <c:cat>
            <c:strRef>
              <c:f>'Product Performance Analysis'!$B$6:$B$16</c:f>
              <c:strCache>
                <c:ptCount val="10"/>
                <c:pt idx="0">
                  <c:v>5-PCS Stainless Steel Cooking Pot Set With Steamed Slices</c:v>
                </c:pt>
                <c:pt idx="1">
                  <c:v>LASA 3 Tier Bamboo Shoe Bench Storage Shelf</c:v>
                </c:pt>
                <c:pt idx="2">
                  <c:v>32PCS Portable Cordless Drill Set With Cyclic Battery Drive -26 Variable Speed</c:v>
                </c:pt>
                <c:pt idx="3">
                  <c:v>LASA Aluminum Folding Truck Hand Cart - 68kg Max</c:v>
                </c:pt>
                <c:pt idx="4">
                  <c:v>MultiFunctional Storage Rack Multi-layer Bookshelf</c:v>
                </c:pt>
                <c:pt idx="5">
                  <c:v>LASA Stainless Steel Double Wall Mount Soap Dispenser - 500ml</c:v>
                </c:pt>
                <c:pt idx="6">
                  <c:v>LED Eye Protection  Desk Lamp , Study, Reading, USB Fan - Double Pen Holder</c:v>
                </c:pt>
                <c:pt idx="7">
                  <c:v>LASA FOLDING TABLE SERVING STAND</c:v>
                </c:pt>
                <c:pt idx="8">
                  <c:v>Electric LED UV Mosquito Killer Lamp, Outdoor/Indoor Fly Killer Trap Light -USB</c:v>
                </c:pt>
                <c:pt idx="9">
                  <c:v>4pcs Bathroom/Kitchen Towel Rack,Roll Paper Holder,Towel Bars,Hook</c:v>
                </c:pt>
              </c:strCache>
            </c:strRef>
          </c:cat>
          <c:val>
            <c:numRef>
              <c:f>'Product Performance Analysis'!$C$6:$C$16</c:f>
              <c:numCache>
                <c:formatCode>[$Ksh-441]#,##0</c:formatCode>
                <c:ptCount val="10"/>
                <c:pt idx="0">
                  <c:v>2585</c:v>
                </c:pt>
                <c:pt idx="1">
                  <c:v>2452</c:v>
                </c:pt>
                <c:pt idx="2">
                  <c:v>2393</c:v>
                </c:pt>
                <c:pt idx="3">
                  <c:v>1946</c:v>
                </c:pt>
                <c:pt idx="4">
                  <c:v>1880</c:v>
                </c:pt>
                <c:pt idx="5">
                  <c:v>1721</c:v>
                </c:pt>
                <c:pt idx="6">
                  <c:v>1670</c:v>
                </c:pt>
                <c:pt idx="7">
                  <c:v>1526</c:v>
                </c:pt>
                <c:pt idx="8">
                  <c:v>1418</c:v>
                </c:pt>
                <c:pt idx="9">
                  <c:v>1360</c:v>
                </c:pt>
              </c:numCache>
            </c:numRef>
          </c:val>
          <c:extLst>
            <c:ext xmlns:c16="http://schemas.microsoft.com/office/drawing/2014/chart" uri="{C3380CC4-5D6E-409C-BE32-E72D297353CC}">
              <c16:uniqueId val="{00000000-035B-415D-BB42-CC82C0DA638D}"/>
            </c:ext>
          </c:extLst>
        </c:ser>
        <c:dLbls>
          <c:showLegendKey val="0"/>
          <c:showVal val="0"/>
          <c:showCatName val="0"/>
          <c:showSerName val="0"/>
          <c:showPercent val="0"/>
          <c:showBubbleSize val="0"/>
        </c:dLbls>
        <c:gapWidth val="219"/>
        <c:overlap val="-27"/>
        <c:axId val="480728431"/>
        <c:axId val="480742831"/>
      </c:barChart>
      <c:catAx>
        <c:axId val="48072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742831"/>
        <c:crosses val="autoZero"/>
        <c:auto val="1"/>
        <c:lblAlgn val="ctr"/>
        <c:lblOffset val="100"/>
        <c:noMultiLvlLbl val="0"/>
      </c:catAx>
      <c:valAx>
        <c:axId val="480742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Dsicount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Ksh-441]#,##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2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[Brian Muriithi_COHORT_7_Excel_Jumia_Dashboard.xlsx]Product Performance Analysis!PivotTable4</c:name>
    <c:fmtId val="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200" b="1" i="0" u="none" strike="noStrike" kern="1200" spc="0" baseline="0">
                <a:solidFill>
                  <a:schemeClr val="accent4"/>
                </a:solidFill>
              </a:rPr>
              <a:t>Top 10 Products by Discount Percentage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Performance Analysis'!$C$21</c:f>
              <c:strCache>
                <c:ptCount val="1"/>
                <c:pt idx="0">
                  <c:v>Total</c:v>
                </c:pt>
              </c:strCache>
            </c:strRef>
          </c:tx>
          <c:spPr>
            <a:solidFill>
              <a:schemeClr val="accent2"/>
            </a:solidFill>
            <a:ln>
              <a:noFill/>
            </a:ln>
            <a:effectLst/>
          </c:spPr>
          <c:invertIfNegative val="0"/>
          <c:cat>
            <c:strRef>
              <c:f>'Product Performance Analysis'!$B$22:$B$31</c:f>
              <c:strCache>
                <c:ptCount val="10"/>
                <c:pt idx="0">
                  <c:v>6 In 1 Bottle Can Opener Multifunctional Easy Opener</c:v>
                </c:pt>
                <c:pt idx="1">
                  <c:v>Creative Owl Shape Keychain Black</c:v>
                </c:pt>
                <c:pt idx="2">
                  <c:v>LASA FOLDING TABLE SERVING STAND</c:v>
                </c:pt>
                <c:pt idx="3">
                  <c:v>5-PCS Stainless Steel Cooking Pot Set With Steamed Slices</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Intelligent  LED Body Sensor Wireless Lighting Night Light USB</c:v>
                </c:pt>
                <c:pt idx="9">
                  <c:v>Exfoliate And Exfoliate Face Towel - Black</c:v>
                </c:pt>
              </c:strCache>
            </c:strRef>
          </c:cat>
          <c:val>
            <c:numRef>
              <c:f>'Product Performance Analysis'!$C$22:$C$31</c:f>
              <c:numCache>
                <c:formatCode>0%</c:formatCode>
                <c:ptCount val="10"/>
                <c:pt idx="0">
                  <c:v>0.64</c:v>
                </c:pt>
                <c:pt idx="1">
                  <c:v>0.61</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BD3A-42F2-88A5-1317C15300DB}"/>
            </c:ext>
          </c:extLst>
        </c:ser>
        <c:dLbls>
          <c:showLegendKey val="0"/>
          <c:showVal val="0"/>
          <c:showCatName val="0"/>
          <c:showSerName val="0"/>
          <c:showPercent val="0"/>
          <c:showBubbleSize val="0"/>
        </c:dLbls>
        <c:gapWidth val="219"/>
        <c:overlap val="-27"/>
        <c:axId val="1036271375"/>
        <c:axId val="1036288655"/>
      </c:barChart>
      <c:catAx>
        <c:axId val="103627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crossAx val="1036288655"/>
        <c:crosses val="autoZero"/>
        <c:auto val="1"/>
        <c:lblAlgn val="ctr"/>
        <c:lblOffset val="100"/>
        <c:noMultiLvlLbl val="0"/>
      </c:catAx>
      <c:valAx>
        <c:axId val="1036288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GB" sz="1000" b="1" i="0" u="none" strike="noStrike" kern="1200" baseline="0">
                    <a:solidFill>
                      <a:sysClr val="windowText" lastClr="000000">
                        <a:lumMod val="65000"/>
                        <a:lumOff val="35000"/>
                      </a:sysClr>
                    </a:solidFill>
                    <a:latin typeface="+mn-lt"/>
                    <a:ea typeface="+mn-ea"/>
                    <a:cs typeface="+mn-cs"/>
                  </a:defRPr>
                </a:pPr>
                <a:r>
                  <a:rPr lang="en-GB" sz="1000" b="1" i="0" u="none" strike="noStrike" kern="1200" baseline="0">
                    <a:solidFill>
                      <a:sysClr val="windowText" lastClr="000000">
                        <a:lumMod val="65000"/>
                        <a:lumOff val="35000"/>
                      </a:sysClr>
                    </a:solidFill>
                    <a:latin typeface="+mn-lt"/>
                    <a:ea typeface="+mn-ea"/>
                    <a:cs typeface="+mn-cs"/>
                  </a:rPr>
                  <a:t>Discount</a:t>
                </a:r>
              </a:p>
            </c:rich>
          </c:tx>
          <c:overlay val="0"/>
          <c:spPr>
            <a:noFill/>
            <a:ln>
              <a:noFill/>
            </a:ln>
            <a:effectLst/>
          </c:spPr>
          <c:txPr>
            <a:bodyPr rot="-5400000" spcFirstLastPara="1" vertOverflow="ellipsis" vert="horz" wrap="square" anchor="ctr" anchorCtr="1"/>
            <a:lstStyle/>
            <a:p>
              <a:pPr algn="ctr" rtl="0">
                <a:defRPr lang="en-GB" sz="1000" b="1"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103627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[Brian Muriithi_COHORT_7_Excel_Jumia_Dashboard.xlsx]Product Performance Analysis!PivotTable1</c:name>
    <c:fmtId val="6"/>
  </c:pivotSource>
  <c:chart>
    <c:title>
      <c:tx>
        <c:rich>
          <a:bodyPr rot="0" spcFirstLastPara="1" vertOverflow="ellipsis" vert="horz" wrap="square" anchor="ctr" anchorCtr="1"/>
          <a:lstStyle/>
          <a:p>
            <a:pPr algn="ctr" rtl="0">
              <a:defRPr lang="en-US" sz="1200" b="1" i="0" u="none" strike="noStrike" kern="1200" spc="0" baseline="0">
                <a:solidFill>
                  <a:schemeClr val="accent4"/>
                </a:solidFill>
                <a:latin typeface="+mn-lt"/>
                <a:ea typeface="+mn-ea"/>
                <a:cs typeface="+mn-cs"/>
              </a:defRPr>
            </a:pPr>
            <a:r>
              <a:rPr lang="en-US" sz="1200" b="1" i="0" u="none" strike="noStrike" kern="1200" spc="0" baseline="0">
                <a:solidFill>
                  <a:schemeClr val="accent4"/>
                </a:solidFill>
                <a:latin typeface="+mn-lt"/>
                <a:ea typeface="+mn-ea"/>
                <a:cs typeface="+mn-cs"/>
              </a:rPr>
              <a:t>Top 10 Products by Rating</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Performance Analysis'!$C$58</c:f>
              <c:strCache>
                <c:ptCount val="1"/>
                <c:pt idx="0">
                  <c:v>Total</c:v>
                </c:pt>
              </c:strCache>
            </c:strRef>
          </c:tx>
          <c:spPr>
            <a:solidFill>
              <a:schemeClr val="accent2"/>
            </a:solidFill>
            <a:ln>
              <a:noFill/>
            </a:ln>
            <a:effectLst/>
          </c:spPr>
          <c:invertIfNegative val="0"/>
          <c:cat>
            <c:strRef>
              <c:f>'Product Performance Analysis'!$B$59:$B$68</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'Product Performance Analysis'!$C$59:$C$68</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BCAD-413E-83D2-12AB6D0363C4}"/>
            </c:ext>
          </c:extLst>
        </c:ser>
        <c:dLbls>
          <c:showLegendKey val="0"/>
          <c:showVal val="0"/>
          <c:showCatName val="0"/>
          <c:showSerName val="0"/>
          <c:showPercent val="0"/>
          <c:showBubbleSize val="0"/>
        </c:dLbls>
        <c:gapWidth val="219"/>
        <c:overlap val="-27"/>
        <c:axId val="705687232"/>
        <c:axId val="705688672"/>
      </c:barChart>
      <c:catAx>
        <c:axId val="70568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0" i="0" u="none" strike="noStrike" kern="1200" baseline="0">
                <a:solidFill>
                  <a:schemeClr val="tx1"/>
                </a:solidFill>
                <a:latin typeface="+mn-lt"/>
                <a:ea typeface="+mn-ea"/>
                <a:cs typeface="+mn-cs"/>
              </a:defRPr>
            </a:pPr>
            <a:endParaRPr lang="en-US"/>
          </a:p>
        </c:txPr>
        <c:crossAx val="705688672"/>
        <c:crosses val="autoZero"/>
        <c:auto val="1"/>
        <c:lblAlgn val="ctr"/>
        <c:lblOffset val="100"/>
        <c:noMultiLvlLbl val="0"/>
      </c:catAx>
      <c:valAx>
        <c:axId val="705688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GB" sz="1000" b="1" i="0" u="none" strike="noStrike" kern="1200" baseline="0">
                    <a:solidFill>
                      <a:sysClr val="windowText" lastClr="000000">
                        <a:lumMod val="65000"/>
                        <a:lumOff val="35000"/>
                      </a:sysClr>
                    </a:solidFill>
                    <a:latin typeface="+mn-lt"/>
                    <a:ea typeface="+mn-ea"/>
                    <a:cs typeface="+mn-cs"/>
                  </a:defRPr>
                </a:pPr>
                <a:r>
                  <a:rPr lang="en-GB" sz="1000" b="1" i="0" u="none" strike="noStrike" kern="1200" baseline="0">
                    <a:solidFill>
                      <a:sysClr val="windowText" lastClr="000000">
                        <a:lumMod val="65000"/>
                        <a:lumOff val="35000"/>
                      </a:sysClr>
                    </a:solidFill>
                    <a:latin typeface="+mn-lt"/>
                    <a:ea typeface="+mn-ea"/>
                    <a:cs typeface="+mn-cs"/>
                  </a:rPr>
                  <a:t>Rating (out of 5)</a:t>
                </a:r>
              </a:p>
            </c:rich>
          </c:tx>
          <c:overlay val="0"/>
          <c:spPr>
            <a:noFill/>
            <a:ln>
              <a:noFill/>
            </a:ln>
            <a:effectLst/>
          </c:spPr>
          <c:txPr>
            <a:bodyPr rot="-5400000" spcFirstLastPara="1" vertOverflow="ellipsis" vert="horz" wrap="square" anchor="ctr" anchorCtr="1"/>
            <a:lstStyle/>
            <a:p>
              <a:pPr algn="ctr" rtl="0">
                <a:defRPr lang="en-GB" sz="1000" b="1"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70568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152400</xdr:colOff>
      <xdr:row>0</xdr:row>
      <xdr:rowOff>121920</xdr:rowOff>
    </xdr:from>
    <xdr:to>
      <xdr:col>21</xdr:col>
      <xdr:colOff>518160</xdr:colOff>
      <xdr:row>3</xdr:row>
      <xdr:rowOff>160020</xdr:rowOff>
    </xdr:to>
    <xdr:sp macro="" textlink="">
      <xdr:nvSpPr>
        <xdr:cNvPr id="2" name="Rectangle 1">
          <a:extLst>
            <a:ext uri="{FF2B5EF4-FFF2-40B4-BE49-F238E27FC236}">
              <a16:creationId xmlns:a16="http://schemas.microsoft.com/office/drawing/2014/main" id="{A76F5A91-B079-180C-7BD0-A815E515AA5B}"/>
            </a:ext>
          </a:extLst>
        </xdr:cNvPr>
        <xdr:cNvSpPr/>
      </xdr:nvSpPr>
      <xdr:spPr>
        <a:xfrm>
          <a:off x="152400" y="121920"/>
          <a:ext cx="13167360" cy="586740"/>
        </a:xfrm>
        <a:prstGeom prst="rect">
          <a:avLst/>
        </a:prstGeom>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502920</xdr:colOff>
      <xdr:row>1</xdr:row>
      <xdr:rowOff>38100</xdr:rowOff>
    </xdr:from>
    <xdr:to>
      <xdr:col>15</xdr:col>
      <xdr:colOff>304800</xdr:colOff>
      <xdr:row>3</xdr:row>
      <xdr:rowOff>15240</xdr:rowOff>
    </xdr:to>
    <xdr:sp macro="" textlink="">
      <xdr:nvSpPr>
        <xdr:cNvPr id="3" name="TextBox 2">
          <a:extLst>
            <a:ext uri="{FF2B5EF4-FFF2-40B4-BE49-F238E27FC236}">
              <a16:creationId xmlns:a16="http://schemas.microsoft.com/office/drawing/2014/main" id="{019B8FC5-4E04-A075-8602-7555F18872E6}"/>
            </a:ext>
          </a:extLst>
        </xdr:cNvPr>
        <xdr:cNvSpPr txBox="1"/>
      </xdr:nvSpPr>
      <xdr:spPr>
        <a:xfrm>
          <a:off x="3550920" y="220980"/>
          <a:ext cx="58978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i="0" u="none" strike="noStrike" baseline="0">
              <a:solidFill>
                <a:sysClr val="windowText" lastClr="000000"/>
              </a:solidFill>
              <a:latin typeface="+mn-lt"/>
              <a:ea typeface="+mn-ea"/>
              <a:cs typeface="+mn-cs"/>
            </a:rPr>
            <a:t>Jumia Product Performance Dashboard</a:t>
          </a:r>
          <a:endParaRPr lang="en-GB" sz="2000" b="1">
            <a:solidFill>
              <a:sysClr val="windowText" lastClr="000000"/>
            </a:solidFill>
          </a:endParaRPr>
        </a:p>
      </xdr:txBody>
    </xdr:sp>
    <xdr:clientData/>
  </xdr:twoCellAnchor>
  <xdr:twoCellAnchor>
    <xdr:from>
      <xdr:col>0</xdr:col>
      <xdr:colOff>144780</xdr:colOff>
      <xdr:row>4</xdr:row>
      <xdr:rowOff>53340</xdr:rowOff>
    </xdr:from>
    <xdr:to>
      <xdr:col>3</xdr:col>
      <xdr:colOff>472440</xdr:colOff>
      <xdr:row>12</xdr:row>
      <xdr:rowOff>7620</xdr:rowOff>
    </xdr:to>
    <xdr:sp macro="" textlink="">
      <xdr:nvSpPr>
        <xdr:cNvPr id="4" name="Rectangle 3">
          <a:extLst>
            <a:ext uri="{FF2B5EF4-FFF2-40B4-BE49-F238E27FC236}">
              <a16:creationId xmlns:a16="http://schemas.microsoft.com/office/drawing/2014/main" id="{ADF5EF71-1CEF-3DC6-48F3-5971CC823C5C}"/>
            </a:ext>
          </a:extLst>
        </xdr:cNvPr>
        <xdr:cNvSpPr/>
      </xdr:nvSpPr>
      <xdr:spPr>
        <a:xfrm>
          <a:off x="144780" y="784860"/>
          <a:ext cx="2156460" cy="1417320"/>
        </a:xfrm>
        <a:prstGeom prst="rect">
          <a:avLst/>
        </a:prstGeom>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0</xdr:col>
      <xdr:colOff>289560</xdr:colOff>
      <xdr:row>4</xdr:row>
      <xdr:rowOff>137160</xdr:rowOff>
    </xdr:from>
    <xdr:to>
      <xdr:col>3</xdr:col>
      <xdr:colOff>129540</xdr:colOff>
      <xdr:row>11</xdr:row>
      <xdr:rowOff>91440</xdr:rowOff>
    </xdr:to>
    <xdr:sp macro="" textlink="">
      <xdr:nvSpPr>
        <xdr:cNvPr id="5" name="TextBox 4">
          <a:extLst>
            <a:ext uri="{FF2B5EF4-FFF2-40B4-BE49-F238E27FC236}">
              <a16:creationId xmlns:a16="http://schemas.microsoft.com/office/drawing/2014/main" id="{577DC500-0566-4B4B-8707-E038E48CCF28}"/>
            </a:ext>
          </a:extLst>
        </xdr:cNvPr>
        <xdr:cNvSpPr txBox="1"/>
      </xdr:nvSpPr>
      <xdr:spPr>
        <a:xfrm>
          <a:off x="289560" y="868680"/>
          <a:ext cx="166878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i="0" u="none" strike="noStrike" baseline="0">
              <a:solidFill>
                <a:schemeClr val="bg1"/>
              </a:solidFill>
              <a:latin typeface="+mn-lt"/>
              <a:ea typeface="+mn-ea"/>
              <a:cs typeface="+mn-cs"/>
            </a:rPr>
            <a:t>Total Number of Products</a:t>
          </a:r>
        </a:p>
        <a:p>
          <a:pPr algn="ctr"/>
          <a:r>
            <a:rPr lang="en-GB" sz="3600" b="1" i="0" u="none" strike="noStrike" baseline="0">
              <a:solidFill>
                <a:schemeClr val="bg1"/>
              </a:solidFill>
              <a:latin typeface="+mn-lt"/>
              <a:ea typeface="+mn-ea"/>
              <a:cs typeface="+mn-cs"/>
            </a:rPr>
            <a:t>109</a:t>
          </a:r>
          <a:endParaRPr lang="en-GB" sz="3600" b="1">
            <a:solidFill>
              <a:schemeClr val="bg1"/>
            </a:solidFill>
          </a:endParaRPr>
        </a:p>
      </xdr:txBody>
    </xdr:sp>
    <xdr:clientData/>
  </xdr:twoCellAnchor>
  <xdr:twoCellAnchor>
    <xdr:from>
      <xdr:col>6</xdr:col>
      <xdr:colOff>68580</xdr:colOff>
      <xdr:row>4</xdr:row>
      <xdr:rowOff>53340</xdr:rowOff>
    </xdr:from>
    <xdr:to>
      <xdr:col>9</xdr:col>
      <xdr:colOff>396240</xdr:colOff>
      <xdr:row>12</xdr:row>
      <xdr:rowOff>7620</xdr:rowOff>
    </xdr:to>
    <xdr:sp macro="" textlink="">
      <xdr:nvSpPr>
        <xdr:cNvPr id="6" name="Rectangle 5">
          <a:extLst>
            <a:ext uri="{FF2B5EF4-FFF2-40B4-BE49-F238E27FC236}">
              <a16:creationId xmlns:a16="http://schemas.microsoft.com/office/drawing/2014/main" id="{9825A8DE-3059-40DB-98A4-2EC998DF18DD}"/>
            </a:ext>
          </a:extLst>
        </xdr:cNvPr>
        <xdr:cNvSpPr/>
      </xdr:nvSpPr>
      <xdr:spPr>
        <a:xfrm>
          <a:off x="3726180" y="784860"/>
          <a:ext cx="2156460" cy="1417320"/>
        </a:xfrm>
        <a:prstGeom prst="rect">
          <a:avLst/>
        </a:prstGeom>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6</xdr:col>
      <xdr:colOff>251460</xdr:colOff>
      <xdr:row>4</xdr:row>
      <xdr:rowOff>121920</xdr:rowOff>
    </xdr:from>
    <xdr:to>
      <xdr:col>9</xdr:col>
      <xdr:colOff>91440</xdr:colOff>
      <xdr:row>11</xdr:row>
      <xdr:rowOff>76200</xdr:rowOff>
    </xdr:to>
    <xdr:sp macro="" textlink="">
      <xdr:nvSpPr>
        <xdr:cNvPr id="7" name="TextBox 6">
          <a:extLst>
            <a:ext uri="{FF2B5EF4-FFF2-40B4-BE49-F238E27FC236}">
              <a16:creationId xmlns:a16="http://schemas.microsoft.com/office/drawing/2014/main" id="{64E099C6-09D5-4392-BBA3-C52B7B4F9DB0}"/>
            </a:ext>
          </a:extLst>
        </xdr:cNvPr>
        <xdr:cNvSpPr txBox="1"/>
      </xdr:nvSpPr>
      <xdr:spPr>
        <a:xfrm>
          <a:off x="3909060" y="853440"/>
          <a:ext cx="166878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i="0" u="none" strike="noStrike" baseline="0">
              <a:solidFill>
                <a:schemeClr val="bg1"/>
              </a:solidFill>
              <a:latin typeface="+mn-lt"/>
              <a:ea typeface="+mn-ea"/>
              <a:cs typeface="+mn-cs"/>
            </a:rPr>
            <a:t>Average Rating</a:t>
          </a:r>
        </a:p>
        <a:p>
          <a:pPr algn="ctr"/>
          <a:r>
            <a:rPr lang="en-GB" sz="3600" b="1" i="0" u="none" strike="noStrike" baseline="0">
              <a:solidFill>
                <a:schemeClr val="bg1"/>
              </a:solidFill>
              <a:latin typeface="+mn-lt"/>
              <a:ea typeface="+mn-ea"/>
              <a:cs typeface="+mn-cs"/>
            </a:rPr>
            <a:t>3.9</a:t>
          </a:r>
          <a:endParaRPr lang="en-GB" sz="3600" b="1">
            <a:solidFill>
              <a:schemeClr val="bg1"/>
            </a:solidFill>
          </a:endParaRPr>
        </a:p>
      </xdr:txBody>
    </xdr:sp>
    <xdr:clientData/>
  </xdr:twoCellAnchor>
  <xdr:twoCellAnchor>
    <xdr:from>
      <xdr:col>18</xdr:col>
      <xdr:colOff>175260</xdr:colOff>
      <xdr:row>4</xdr:row>
      <xdr:rowOff>60960</xdr:rowOff>
    </xdr:from>
    <xdr:to>
      <xdr:col>21</xdr:col>
      <xdr:colOff>502920</xdr:colOff>
      <xdr:row>12</xdr:row>
      <xdr:rowOff>15240</xdr:rowOff>
    </xdr:to>
    <xdr:sp macro="" textlink="">
      <xdr:nvSpPr>
        <xdr:cNvPr id="10" name="Rectangle 9">
          <a:extLst>
            <a:ext uri="{FF2B5EF4-FFF2-40B4-BE49-F238E27FC236}">
              <a16:creationId xmlns:a16="http://schemas.microsoft.com/office/drawing/2014/main" id="{088A1C84-FD71-456E-B8FC-A98414C16F68}"/>
            </a:ext>
          </a:extLst>
        </xdr:cNvPr>
        <xdr:cNvSpPr/>
      </xdr:nvSpPr>
      <xdr:spPr>
        <a:xfrm>
          <a:off x="11148060" y="792480"/>
          <a:ext cx="2156460" cy="1417320"/>
        </a:xfrm>
        <a:prstGeom prst="rect">
          <a:avLst/>
        </a:prstGeom>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18</xdr:col>
      <xdr:colOff>419100</xdr:colOff>
      <xdr:row>4</xdr:row>
      <xdr:rowOff>152400</xdr:rowOff>
    </xdr:from>
    <xdr:to>
      <xdr:col>21</xdr:col>
      <xdr:colOff>259080</xdr:colOff>
      <xdr:row>11</xdr:row>
      <xdr:rowOff>106680</xdr:rowOff>
    </xdr:to>
    <xdr:sp macro="" textlink="">
      <xdr:nvSpPr>
        <xdr:cNvPr id="11" name="TextBox 10">
          <a:extLst>
            <a:ext uri="{FF2B5EF4-FFF2-40B4-BE49-F238E27FC236}">
              <a16:creationId xmlns:a16="http://schemas.microsoft.com/office/drawing/2014/main" id="{B7E71CCD-FC6B-42ED-A51A-461464159F1C}"/>
            </a:ext>
          </a:extLst>
        </xdr:cNvPr>
        <xdr:cNvSpPr txBox="1"/>
      </xdr:nvSpPr>
      <xdr:spPr>
        <a:xfrm>
          <a:off x="11391900" y="883920"/>
          <a:ext cx="166878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i="0" u="none" strike="noStrike" baseline="0">
              <a:solidFill>
                <a:schemeClr val="bg1"/>
              </a:solidFill>
              <a:latin typeface="+mn-lt"/>
              <a:ea typeface="+mn-ea"/>
              <a:cs typeface="+mn-cs"/>
            </a:rPr>
            <a:t>Total Number of Reviews</a:t>
          </a:r>
        </a:p>
        <a:p>
          <a:pPr algn="ctr"/>
          <a:r>
            <a:rPr lang="en-GB" sz="3600" b="1" i="0" u="none" strike="noStrike" baseline="0">
              <a:solidFill>
                <a:schemeClr val="bg1"/>
              </a:solidFill>
              <a:latin typeface="+mn-lt"/>
              <a:ea typeface="+mn-ea"/>
              <a:cs typeface="+mn-cs"/>
            </a:rPr>
            <a:t>723</a:t>
          </a:r>
          <a:endParaRPr lang="en-GB" sz="3600" b="1">
            <a:solidFill>
              <a:schemeClr val="bg1"/>
            </a:solidFill>
          </a:endParaRPr>
        </a:p>
      </xdr:txBody>
    </xdr:sp>
    <xdr:clientData/>
  </xdr:twoCellAnchor>
  <xdr:twoCellAnchor>
    <xdr:from>
      <xdr:col>12</xdr:col>
      <xdr:colOff>30480</xdr:colOff>
      <xdr:row>4</xdr:row>
      <xdr:rowOff>60960</xdr:rowOff>
    </xdr:from>
    <xdr:to>
      <xdr:col>15</xdr:col>
      <xdr:colOff>358140</xdr:colOff>
      <xdr:row>12</xdr:row>
      <xdr:rowOff>15240</xdr:rowOff>
    </xdr:to>
    <xdr:sp macro="" textlink="">
      <xdr:nvSpPr>
        <xdr:cNvPr id="12" name="Rectangle 11">
          <a:extLst>
            <a:ext uri="{FF2B5EF4-FFF2-40B4-BE49-F238E27FC236}">
              <a16:creationId xmlns:a16="http://schemas.microsoft.com/office/drawing/2014/main" id="{718C14D0-47D7-48D7-8A8E-2F24D274ED8C}"/>
            </a:ext>
          </a:extLst>
        </xdr:cNvPr>
        <xdr:cNvSpPr/>
      </xdr:nvSpPr>
      <xdr:spPr>
        <a:xfrm>
          <a:off x="7345680" y="792480"/>
          <a:ext cx="2156460" cy="1417320"/>
        </a:xfrm>
        <a:prstGeom prst="rect">
          <a:avLst/>
        </a:prstGeom>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12</xdr:col>
      <xdr:colOff>312420</xdr:colOff>
      <xdr:row>4</xdr:row>
      <xdr:rowOff>152400</xdr:rowOff>
    </xdr:from>
    <xdr:to>
      <xdr:col>15</xdr:col>
      <xdr:colOff>152400</xdr:colOff>
      <xdr:row>11</xdr:row>
      <xdr:rowOff>106680</xdr:rowOff>
    </xdr:to>
    <xdr:sp macro="" textlink="">
      <xdr:nvSpPr>
        <xdr:cNvPr id="13" name="TextBox 12">
          <a:extLst>
            <a:ext uri="{FF2B5EF4-FFF2-40B4-BE49-F238E27FC236}">
              <a16:creationId xmlns:a16="http://schemas.microsoft.com/office/drawing/2014/main" id="{A52D7EDC-121C-4518-BE95-D6A0D094E502}"/>
            </a:ext>
          </a:extLst>
        </xdr:cNvPr>
        <xdr:cNvSpPr txBox="1"/>
      </xdr:nvSpPr>
      <xdr:spPr>
        <a:xfrm>
          <a:off x="7627620" y="883920"/>
          <a:ext cx="166878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i="0" u="none" strike="noStrike" baseline="0">
              <a:solidFill>
                <a:schemeClr val="bg1"/>
              </a:solidFill>
              <a:latin typeface="+mn-lt"/>
              <a:ea typeface="+mn-ea"/>
              <a:cs typeface="+mn-cs"/>
            </a:rPr>
            <a:t>Average Discount Percentage</a:t>
          </a:r>
        </a:p>
        <a:p>
          <a:pPr marL="0" indent="0" algn="ctr"/>
          <a:r>
            <a:rPr lang="en-GB" sz="3600" b="1" i="0" u="none" strike="noStrike" baseline="0">
              <a:solidFill>
                <a:schemeClr val="bg1"/>
              </a:solidFill>
              <a:latin typeface="+mn-lt"/>
              <a:ea typeface="+mn-ea"/>
              <a:cs typeface="+mn-cs"/>
            </a:rPr>
            <a:t>36%  </a:t>
          </a:r>
        </a:p>
      </xdr:txBody>
    </xdr:sp>
    <xdr:clientData/>
  </xdr:twoCellAnchor>
  <xdr:twoCellAnchor>
    <xdr:from>
      <xdr:col>0</xdr:col>
      <xdr:colOff>152400</xdr:colOff>
      <xdr:row>12</xdr:row>
      <xdr:rowOff>60960</xdr:rowOff>
    </xdr:from>
    <xdr:to>
      <xdr:col>7</xdr:col>
      <xdr:colOff>7620</xdr:colOff>
      <xdr:row>26</xdr:row>
      <xdr:rowOff>76200</xdr:rowOff>
    </xdr:to>
    <xdr:graphicFrame macro="">
      <xdr:nvGraphicFramePr>
        <xdr:cNvPr id="14" name="Chart 13">
          <a:extLst>
            <a:ext uri="{FF2B5EF4-FFF2-40B4-BE49-F238E27FC236}">
              <a16:creationId xmlns:a16="http://schemas.microsoft.com/office/drawing/2014/main" id="{631C78EC-5189-4A70-8A77-AD0ECF367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45720</xdr:colOff>
      <xdr:row>12</xdr:row>
      <xdr:rowOff>60960</xdr:rowOff>
    </xdr:from>
    <xdr:to>
      <xdr:col>14</xdr:col>
      <xdr:colOff>99060</xdr:colOff>
      <xdr:row>26</xdr:row>
      <xdr:rowOff>83820</xdr:rowOff>
    </xdr:to>
    <xdr:graphicFrame macro="">
      <xdr:nvGraphicFramePr>
        <xdr:cNvPr id="15" name="Chart 14">
          <a:extLst>
            <a:ext uri="{FF2B5EF4-FFF2-40B4-BE49-F238E27FC236}">
              <a16:creationId xmlns:a16="http://schemas.microsoft.com/office/drawing/2014/main" id="{F9629BF7-CD5C-412F-8C82-91FB5BB91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160020</xdr:colOff>
      <xdr:row>26</xdr:row>
      <xdr:rowOff>152400</xdr:rowOff>
    </xdr:from>
    <xdr:to>
      <xdr:col>7</xdr:col>
      <xdr:colOff>7620</xdr:colOff>
      <xdr:row>43</xdr:row>
      <xdr:rowOff>121920</xdr:rowOff>
    </xdr:to>
    <xdr:graphicFrame macro="">
      <xdr:nvGraphicFramePr>
        <xdr:cNvPr id="17" name="Chart 16">
          <a:extLst>
            <a:ext uri="{FF2B5EF4-FFF2-40B4-BE49-F238E27FC236}">
              <a16:creationId xmlns:a16="http://schemas.microsoft.com/office/drawing/2014/main" id="{7E6C6FBE-68C8-4F41-9069-87A7E1E8EA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xdr:colOff>
      <xdr:row>26</xdr:row>
      <xdr:rowOff>175260</xdr:rowOff>
    </xdr:from>
    <xdr:to>
      <xdr:col>14</xdr:col>
      <xdr:colOff>91440</xdr:colOff>
      <xdr:row>43</xdr:row>
      <xdr:rowOff>129540</xdr:rowOff>
    </xdr:to>
    <xdr:graphicFrame macro="">
      <xdr:nvGraphicFramePr>
        <xdr:cNvPr id="18" name="Chart 17">
          <a:extLst>
            <a:ext uri="{FF2B5EF4-FFF2-40B4-BE49-F238E27FC236}">
              <a16:creationId xmlns:a16="http://schemas.microsoft.com/office/drawing/2014/main" id="{466B6F54-129E-4E73-B3D7-04666550A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487680</xdr:colOff>
      <xdr:row>12</xdr:row>
      <xdr:rowOff>91440</xdr:rowOff>
    </xdr:from>
    <xdr:to>
      <xdr:col>21</xdr:col>
      <xdr:colOff>548640</xdr:colOff>
      <xdr:row>21</xdr:row>
      <xdr:rowOff>60960</xdr:rowOff>
    </xdr:to>
    <mc:AlternateContent xmlns:mc="http://schemas.openxmlformats.org/markup-compatibility/2006" xmlns:a14="http://schemas.microsoft.com/office/drawing/2010/main">
      <mc:Choice Requires="a14">
        <xdr:graphicFrame macro="">
          <xdr:nvGraphicFramePr>
            <xdr:cNvPr id="20" name="Rating  Category 1">
              <a:extLst>
                <a:ext uri="{FF2B5EF4-FFF2-40B4-BE49-F238E27FC236}">
                  <a16:creationId xmlns:a16="http://schemas.microsoft.com/office/drawing/2014/main" id="{242FBB64-C242-4A4A-9D6A-56256FFDCF3C}"/>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11460480" y="2286000"/>
              <a:ext cx="1889760" cy="16154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121920</xdr:colOff>
      <xdr:row>12</xdr:row>
      <xdr:rowOff>68580</xdr:rowOff>
    </xdr:from>
    <xdr:to>
      <xdr:col>18</xdr:col>
      <xdr:colOff>388620</xdr:colOff>
      <xdr:row>26</xdr:row>
      <xdr:rowOff>91440</xdr:rowOff>
    </xdr:to>
    <xdr:graphicFrame macro="">
      <xdr:nvGraphicFramePr>
        <xdr:cNvPr id="21" name="Chart 20">
          <a:extLst>
            <a:ext uri="{FF2B5EF4-FFF2-40B4-BE49-F238E27FC236}">
              <a16:creationId xmlns:a16="http://schemas.microsoft.com/office/drawing/2014/main" id="{E1340315-0814-4692-91E2-7DCFDFC64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144780</xdr:colOff>
      <xdr:row>27</xdr:row>
      <xdr:rowOff>7620</xdr:rowOff>
    </xdr:from>
    <xdr:to>
      <xdr:col>18</xdr:col>
      <xdr:colOff>426720</xdr:colOff>
      <xdr:row>43</xdr:row>
      <xdr:rowOff>137160</xdr:rowOff>
    </xdr:to>
    <xdr:graphicFrame macro="">
      <xdr:nvGraphicFramePr>
        <xdr:cNvPr id="22" name="Chart 21">
          <a:extLst>
            <a:ext uri="{FF2B5EF4-FFF2-40B4-BE49-F238E27FC236}">
              <a16:creationId xmlns:a16="http://schemas.microsoft.com/office/drawing/2014/main" id="{A7841138-6964-4D72-A4DC-2AC40462C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495300</xdr:colOff>
      <xdr:row>21</xdr:row>
      <xdr:rowOff>121920</xdr:rowOff>
    </xdr:from>
    <xdr:to>
      <xdr:col>21</xdr:col>
      <xdr:colOff>556260</xdr:colOff>
      <xdr:row>29</xdr:row>
      <xdr:rowOff>76200</xdr:rowOff>
    </xdr:to>
    <mc:AlternateContent xmlns:mc="http://schemas.openxmlformats.org/markup-compatibility/2006" xmlns:a14="http://schemas.microsoft.com/office/drawing/2010/main">
      <mc:Choice Requires="a14">
        <xdr:graphicFrame macro="">
          <xdr:nvGraphicFramePr>
            <xdr:cNvPr id="8" name="Discount Category 1">
              <a:extLst>
                <a:ext uri="{FF2B5EF4-FFF2-40B4-BE49-F238E27FC236}">
                  <a16:creationId xmlns:a16="http://schemas.microsoft.com/office/drawing/2014/main" id="{BE59F5F4-5FA8-4BAB-B115-9C2291AA0FA8}"/>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11468100" y="3962400"/>
              <a:ext cx="1889760" cy="14173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152400</xdr:colOff>
      <xdr:row>1</xdr:row>
      <xdr:rowOff>102870</xdr:rowOff>
    </xdr:from>
    <xdr:to>
      <xdr:col>8</xdr:col>
      <xdr:colOff>2994660</xdr:colOff>
      <xdr:row>14</xdr:row>
      <xdr:rowOff>121920</xdr:rowOff>
    </xdr:to>
    <xdr:graphicFrame macro="">
      <xdr:nvGraphicFramePr>
        <xdr:cNvPr id="2" name="Chart 1">
          <a:extLst>
            <a:ext uri="{FF2B5EF4-FFF2-40B4-BE49-F238E27FC236}">
              <a16:creationId xmlns:a16="http://schemas.microsoft.com/office/drawing/2014/main" id="{66000E71-E721-EAE1-840C-2778FC3A4E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152400</xdr:colOff>
      <xdr:row>14</xdr:row>
      <xdr:rowOff>163830</xdr:rowOff>
    </xdr:from>
    <xdr:to>
      <xdr:col>9</xdr:col>
      <xdr:colOff>114300</xdr:colOff>
      <xdr:row>27</xdr:row>
      <xdr:rowOff>0</xdr:rowOff>
    </xdr:to>
    <xdr:graphicFrame macro="">
      <xdr:nvGraphicFramePr>
        <xdr:cNvPr id="3" name="Chart 2">
          <a:extLst>
            <a:ext uri="{FF2B5EF4-FFF2-40B4-BE49-F238E27FC236}">
              <a16:creationId xmlns:a16="http://schemas.microsoft.com/office/drawing/2014/main" id="{24910AAA-B62C-E3C9-A9AB-F6AA5568B1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30</xdr:row>
      <xdr:rowOff>45720</xdr:rowOff>
    </xdr:from>
    <xdr:to>
      <xdr:col>6</xdr:col>
      <xdr:colOff>381000</xdr:colOff>
      <xdr:row>44</xdr:row>
      <xdr:rowOff>66675</xdr:rowOff>
    </xdr:to>
    <mc:AlternateContent xmlns:mc="http://schemas.openxmlformats.org/markup-compatibility/2006" xmlns:a14="http://schemas.microsoft.com/office/drawing/2010/main">
      <mc:Choice Requires="a14">
        <xdr:graphicFrame macro="">
          <xdr:nvGraphicFramePr>
            <xdr:cNvPr id="8" name="Discount Category 2">
              <a:extLst>
                <a:ext uri="{FF2B5EF4-FFF2-40B4-BE49-F238E27FC236}">
                  <a16:creationId xmlns:a16="http://schemas.microsoft.com/office/drawing/2014/main" id="{A8BF3D64-C2D7-1375-A076-CB97AD68ED51}"/>
                </a:ext>
              </a:extLst>
            </xdr:cNvPr>
            <xdr:cNvGraphicFramePr/>
          </xdr:nvGraphicFramePr>
          <xdr:xfrm>
            <a:off x="0" y="0"/>
            <a:ext cx="0" cy="0"/>
          </xdr:xfrm>
          <a:graphic>
            <a:graphicData uri="http://schemas.microsoft.com/office/drawing/2010/slicer">
              <sle:slicer xmlns:sle="http://schemas.microsoft.com/office/drawing/2010/slicer" name="Discount Category 2"/>
            </a:graphicData>
          </a:graphic>
        </xdr:graphicFrame>
      </mc:Choice>
      <mc:Fallback xmlns="">
        <xdr:sp macro="" textlink="">
          <xdr:nvSpPr>
            <xdr:cNvPr id="0" name=""/>
            <xdr:cNvSpPr>
              <a:spLocks noTextEdit="1"/>
            </xdr:cNvSpPr>
          </xdr:nvSpPr>
          <xdr:spPr>
            <a:xfrm>
              <a:off x="5791200" y="553212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15240</xdr:colOff>
      <xdr:row>2</xdr:row>
      <xdr:rowOff>160020</xdr:rowOff>
    </xdr:from>
    <xdr:to>
      <xdr:col>14</xdr:col>
      <xdr:colOff>487680</xdr:colOff>
      <xdr:row>20</xdr:row>
      <xdr:rowOff>0</xdr:rowOff>
    </xdr:to>
    <xdr:graphicFrame macro="">
      <xdr:nvGraphicFramePr>
        <xdr:cNvPr id="2" name="Chart 1">
          <a:extLst>
            <a:ext uri="{FF2B5EF4-FFF2-40B4-BE49-F238E27FC236}">
              <a16:creationId xmlns:a16="http://schemas.microsoft.com/office/drawing/2014/main" id="{A3445303-ACAC-3ECD-2354-22BC1DF7A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601980</xdr:colOff>
      <xdr:row>22</xdr:row>
      <xdr:rowOff>3810</xdr:rowOff>
    </xdr:from>
    <xdr:to>
      <xdr:col>14</xdr:col>
      <xdr:colOff>464820</xdr:colOff>
      <xdr:row>37</xdr:row>
      <xdr:rowOff>175260</xdr:rowOff>
    </xdr:to>
    <xdr:graphicFrame macro="">
      <xdr:nvGraphicFramePr>
        <xdr:cNvPr id="4" name="Chart 3">
          <a:extLst>
            <a:ext uri="{FF2B5EF4-FFF2-40B4-BE49-F238E27FC236}">
              <a16:creationId xmlns:a16="http://schemas.microsoft.com/office/drawing/2014/main" id="{068C267F-A2BE-7455-1623-79B2E7D55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30480</xdr:colOff>
      <xdr:row>39</xdr:row>
      <xdr:rowOff>80010</xdr:rowOff>
    </xdr:from>
    <xdr:to>
      <xdr:col>14</xdr:col>
      <xdr:colOff>388620</xdr:colOff>
      <xdr:row>54</xdr:row>
      <xdr:rowOff>53340</xdr:rowOff>
    </xdr:to>
    <xdr:graphicFrame macro="">
      <xdr:nvGraphicFramePr>
        <xdr:cNvPr id="3" name="Chart 2">
          <a:extLst>
            <a:ext uri="{FF2B5EF4-FFF2-40B4-BE49-F238E27FC236}">
              <a16:creationId xmlns:a16="http://schemas.microsoft.com/office/drawing/2014/main" id="{86982E59-BD39-926A-AC00-84DE107D86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xdr:colOff>
      <xdr:row>2</xdr:row>
      <xdr:rowOff>179070</xdr:rowOff>
    </xdr:from>
    <xdr:to>
      <xdr:col>11</xdr:col>
      <xdr:colOff>312420</xdr:colOff>
      <xdr:row>17</xdr:row>
      <xdr:rowOff>179070</xdr:rowOff>
    </xdr:to>
    <xdr:graphicFrame macro="">
      <xdr:nvGraphicFramePr>
        <xdr:cNvPr id="2" name="Chart 1">
          <a:extLst>
            <a:ext uri="{FF2B5EF4-FFF2-40B4-BE49-F238E27FC236}">
              <a16:creationId xmlns:a16="http://schemas.microsoft.com/office/drawing/2014/main" id="{2492461F-54D2-C554-679C-9B3A4A68A9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19</xdr:row>
      <xdr:rowOff>171450</xdr:rowOff>
    </xdr:from>
    <xdr:to>
      <xdr:col>11</xdr:col>
      <xdr:colOff>312420</xdr:colOff>
      <xdr:row>34</xdr:row>
      <xdr:rowOff>171450</xdr:rowOff>
    </xdr:to>
    <xdr:graphicFrame macro="">
      <xdr:nvGraphicFramePr>
        <xdr:cNvPr id="3" name="Chart 2">
          <a:extLst>
            <a:ext uri="{FF2B5EF4-FFF2-40B4-BE49-F238E27FC236}">
              <a16:creationId xmlns:a16="http://schemas.microsoft.com/office/drawing/2014/main" id="{E0CEF7F2-708A-C798-A95E-69F9DB9646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xdr:colOff>
      <xdr:row>36</xdr:row>
      <xdr:rowOff>11430</xdr:rowOff>
    </xdr:from>
    <xdr:to>
      <xdr:col>11</xdr:col>
      <xdr:colOff>312420</xdr:colOff>
      <xdr:row>51</xdr:row>
      <xdr:rowOff>11430</xdr:rowOff>
    </xdr:to>
    <xdr:graphicFrame macro="">
      <xdr:nvGraphicFramePr>
        <xdr:cNvPr id="4" name="Chart 3">
          <a:extLst>
            <a:ext uri="{FF2B5EF4-FFF2-40B4-BE49-F238E27FC236}">
              <a16:creationId xmlns:a16="http://schemas.microsoft.com/office/drawing/2014/main" id="{290E7736-D621-49B4-4DCA-8D36CCE0A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594360</xdr:colOff>
      <xdr:row>19</xdr:row>
      <xdr:rowOff>175261</xdr:rowOff>
    </xdr:from>
    <xdr:to>
      <xdr:col>14</xdr:col>
      <xdr:colOff>594360</xdr:colOff>
      <xdr:row>29</xdr:row>
      <xdr:rowOff>106681</xdr:rowOff>
    </xdr:to>
    <mc:AlternateContent xmlns:mc="http://schemas.openxmlformats.org/markup-compatibility/2006" xmlns:a14="http://schemas.microsoft.com/office/drawing/2010/main">
      <mc:Choice Requires="a14">
        <xdr:graphicFrame macro="">
          <xdr:nvGraphicFramePr>
            <xdr:cNvPr id="5" name="Rating  Category">
              <a:extLst>
                <a:ext uri="{FF2B5EF4-FFF2-40B4-BE49-F238E27FC236}">
                  <a16:creationId xmlns:a16="http://schemas.microsoft.com/office/drawing/2014/main" id="{B7AEF932-09D2-7109-E2DA-3959FF3D8940}"/>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12214860" y="3649981"/>
              <a:ext cx="1828800" cy="17602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594360</xdr:colOff>
      <xdr:row>1</xdr:row>
      <xdr:rowOff>167641</xdr:rowOff>
    </xdr:from>
    <xdr:to>
      <xdr:col>9</xdr:col>
      <xdr:colOff>594360</xdr:colOff>
      <xdr:row>8</xdr:row>
      <xdr:rowOff>175261</xdr:rowOff>
    </xdr:to>
    <mc:AlternateContent xmlns:mc="http://schemas.openxmlformats.org/markup-compatibility/2006" xmlns:a14="http://schemas.microsoft.com/office/drawing/2010/main">
      <mc:Choice Requires="a14">
        <xdr:graphicFrame macro="">
          <xdr:nvGraphicFramePr>
            <xdr:cNvPr id="2" name="Discount Category">
              <a:extLst>
                <a:ext uri="{FF2B5EF4-FFF2-40B4-BE49-F238E27FC236}">
                  <a16:creationId xmlns:a16="http://schemas.microsoft.com/office/drawing/2014/main" id="{26DF120B-D445-C5A7-0B46-682C1A291991}"/>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10500360" y="35052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an Munene M" refreshedDate="46105.867735879627" createdVersion="8" refreshedVersion="8" minRefreshableVersion="3" recordCount="109" xr:uid="{CA6F732E-FA86-418A-931C-3045E6281767}">
  <cacheSource type="worksheet">
    <worksheetSource name="Table1"/>
  </cacheSource>
  <cacheFields count="9">
    <cacheField name="Product" numFmtId="0">
      <sharedItems count="109">
        <s v="Wall-mounted Sticker Punch-free Plug Fixer"/>
        <s v="5-PCS Stainless Steel Cooking Pot Set With Steamed Slices"/>
        <s v="Electric LED UV Mosquito Killer Lamp, Outdoor/Indoor Fly Killer Trap Light -USB"/>
        <s v="7-piece Set Of Storage Bags, Travel Storage Bags, Shoe Bags"/>
        <s v="Artificial Potted Flowers Room Decorative Flowers (2 Pieces)"/>
        <s v="380ML USB Rechargeable Portable Small Blenders And Juicers"/>
        <s v="Watercolour Gold Foil Textured Print Pillow Cover"/>
        <s v="5 Pieces/set Of Stainless Steel Induction Cooker Pots"/>
        <s v="Agapeon Toothbrush Holder And Toothpaste Dispenser"/>
        <s v="Intelligent  LED Body Sensor Wireless Lighting Night Light USB"/>
        <s v="120W Cordless Vacuum Cleaners Handheld Electric Vacuum Cleaner"/>
        <s v="VIC Wireless Vacuum Cleaner Dual Use For Home And Car 120W High Power Powerful"/>
        <s v="Mythco 120COB Solar Wall Ligt With Motion Sensor And Remote Control 3 Modes"/>
        <s v="Memory Foam Neck Pillow Cover, With Pillow Core - 50*30cm"/>
        <s v="Wrought Iron Bathroom Shelf Wall Mounted Free Punch Toilet Rack"/>
        <s v="32PCS Portable Cordless Drill Set With Cyclic Battery Drive -26 Variable Speed"/>
        <s v="Large Lazy Inflatable Sofa Chairs PVC Lounger Seat Bag"/>
        <s v="3PCS Single Head Knitting Crochet Sweater Needle Set"/>
        <s v="13 In 1 Home Repair Tools Box Kit Set"/>
        <s v="12 Litre Black Insulated Lunch Box"/>
        <s v="Portable Wardrobe Nonwoven With 3 Hanging Rods And 6 Storage Shelves"/>
        <s v="Household Pineapple Peeler Peeler"/>
        <s v="Desk Foldable Fan Adjustable Fan Strong Wind 3 Gear Usb"/>
        <s v="LED Romantic Spaceship Starry Sky Projector,Children's Bedroom Night Light-Blue"/>
        <s v="220V 60W Electric Soldering Iron Kits With Tools, Tips, And Multimeter"/>
        <s v="Metal Decorative Hooks Key Hangers Entryway Wall Hooks Towel Hooks - Home"/>
        <s v="52 Pieces Cake Decorating Tool Set Gift Kit Baking Supplies"/>
        <s v="Genebre 115 In 1 Screwdriver Repairing Tool Set For IPhone Cellphone Hand Tool"/>
        <s v="Multifunction Laser Level With Adjustment Tripod"/>
        <s v="LASA 3 Tier Bamboo Shoe Bench Storage Shelf"/>
        <s v="Exfoliate And Exfoliate Face Towel - Black"/>
        <s v="LED Eye Protection  Desk Lamp , Study, Reading, USB Fan - Double Pen Holder"/>
        <s v="Punch-free Great Load Bearing Bathroom Storage Rack Wall Shelf-White"/>
        <s v="Foldable Overbed Table/Desk"/>
        <s v="LASA Digital Thermometer And Hydrometer"/>
        <s v="1/2/3 Seater Elastic Sofa Cover,Living Room/Home Decor Chair Cover-Grey"/>
        <s v="115  Piece Set Of Multifunctional Precision Screwdrivers"/>
        <s v="53 Pieces/Set Yarn Knitting Crochet Hooks With Bag - Pansies"/>
        <s v="3D Waterproof EVA Plastic Shower Curtain 1.8*2Mtrs"/>
        <s v="Electronic Digital Display Vernier Caliper"/>
        <s v="Portable Mini Cordless Car Vacuum Cleaner - Blue"/>
        <s v="137 Pieces Cake Decorating Tool Set Baking Supplies"/>
        <s v="LED Wall Digital Alarm Clock Study Home 12 / 24H Clock Calendar"/>
        <s v="Weighing Scale Digital Bathroom Body Fat Scale USB-Black"/>
        <s v="100 Pcs Crochet Hook Tool Set Knitting Hook Set With Box"/>
        <s v="12 Litre Insulated Lunch Box Grey"/>
        <s v="53Pcs/Set Yarn Knitting Crochet Hooks With Bag - Fortune Cat"/>
        <s v="LASA FOLDING TABLE SERVING STAND"/>
        <s v="40cm Gold DIY Acrylic Wall Sticker Clock"/>
        <s v="Portable Home Small Air Humidifier 3-Speed Fan - Green"/>
        <s v="Classic Black Cat Cotton Hemp Pillow Case For Home Car"/>
        <s v="Anti-Skid Absorbent Insulation Coaster  For Home Office"/>
        <s v="LASA Aluminum Folding Truck Hand Cart - 68kg Max"/>
        <s v="Bedroom Simple Floor Hanging Clothes Rack Single Pole Hat Rack - White"/>
        <s v="Peacock  Throw Pillow Cushion Case For Home Car"/>
        <s v="DIY File Folder, Office Drawer File Holder, Pen Holder, Desktop Storage Rack"/>
        <s v="Konka Healty Electric Kettle, 24-hour Heat Preservation,1.5L,800W, White"/>
        <s v="6 In 1 Bottle Can Opener Multifunctional Easy Opener"/>
        <s v="Creative Owl Shape Keychain Black"/>
        <s v="2PCS Ice Silk Square Cushion Cover Pillowcases - 65x65cm"/>
        <s v="Christmas Elk Fence Yard Lawn Decorations Cute For Holidays"/>
        <s v="Wall Clock With Hidden Safe Box"/>
        <s v="Brush &amp; Paintbrush Cleaning Tool Pink"/>
        <s v="Modern Sofa Throw Pillow Cover-45x45cm-Blue&amp;Red"/>
        <s v="Angle Measuring Tool Full Metal Multi Angle Measuring Tool"/>
        <s v="Car Phone Charging Stand"/>
        <s v="Baby Early Education Shape And Color Cognitive Training Toys"/>
        <s v="4M Float Switch Water Level Controller -Water Tank"/>
        <s v="Cartoon Car Decoration Cute Individuality For Car Home Desk"/>
        <s v="4 Piece Coloured Stainless Steel Kitchenware Set"/>
        <s v="7PCS Silicone Thumb Knife Finger Protector Vegetable Harvesting Knife"/>
        <s v="Portable Wine Table With Folding Round Table"/>
        <s v="Christmas Fence Garden Decorations Outdoor For Holiday Home"/>
        <s v="Sewing Machine Needle Threader Stitch Insertion Tool Automatic Quick Sewing"/>
        <s v="6 Layers Steel Pipe Assembling Dustproof Storage Shoe Cabinet"/>
        <s v="2PCS/LOT Solar LED Outdoor Intelligent Light Controlled Wall Lamp"/>
        <s v="Black Simple Water Cup Wine Coaster Anti Slip Absorbent"/>
        <s v="MultiFunctional Storage Rack Multi-layer Bookshelf"/>
        <s v="Simple Metal Dog Art Sculpture Decoration For Home Office"/>
        <s v="3PCS Rotary Scraper Thermomix For Kitchen"/>
        <s v="Multifunctional Hanging Storage Box Storage Bag (4 Layers)"/>
        <s v="4pcs Bathroom/Kitchen Towel Rack,Roll Paper Holder,Towel Bars,Hook"/>
        <s v="8in1 Screwdriver With LED Light"/>
        <s v="Balloon Insert, Birthday Party Balloon Set, PU Leather"/>
        <s v="9pcs Gas Mask, For Painting, Dust, Formaldehyde Grinding, Polishing"/>
        <s v="Cute Christmas Fence Garden Decorations For Holiday Home"/>
        <s v="LASA Stainless Steel Double Wall Mount Soap Dispenser - 500ml"/>
        <s v="2pcs Solar Street Light Flood Light Outdoor"/>
        <s v="5m Waterproof Spherical LED String Lights Outdoor Ball Chain Lights Party Lighting Decoration Adjustable"/>
        <s v="Cartoon Embroidered Mini Towel Bear Cotton Wash Cloth Hand 4pcs"/>
        <s v="LED Solar Street Light-fake Camera"/>
        <s v="60W Hot Melt Glue Sprayer - Efficient And Stable Glue Dispensing"/>
        <s v="12V 19500rpm Handheld Electric Angle Grinder Tool - UK - Yellow/Black"/>
        <s v="1PC Refrigerator Food Seal Pocket Fridge Bags"/>
        <s v="Pilates Cloth Bag Waterproof Durable High Capacity Purple"/>
        <s v="Office Chair Lumbar Back Support Spine Posture Correction Pillow Car Cushion"/>
        <s v="Wall-Mounted Toothbrush Toothpaste Holder With Multiple Slots"/>
        <s v="Outdoor Portable Water Bottle With Medicine Box - 600ML - Black"/>
        <s v="Wall Mount Automatic Toothpaste Dispenser Toothbrush Holder Toothpaste Squeezer"/>
        <s v="Metal Wall Clock Silver Dial Crystal Jewelry Round Home Decoration Wall Clock"/>
        <s v="Cushion Silicone Butt Cushion Summer Ice Cushion Honeycomb Gel Cushion"/>
        <s v="Multi-purpose Rice Drainage Basket And Fruit And Vegetable Drainage Sieve"/>
        <s v="Shower Nozzle Cleaning Unclogging Needle Mini Crevice Small Hole Cleaning Brush"/>
        <s v="Pen Grips For Kids Pen Grip Posture Correction Tool For Kids"/>
        <s v="Portable Soap Dispenser Kitchen Detergent Press Box Kitchen Tools"/>
        <s v="Shower Cap Wide Elastic Band Cover Reusable Bashroom Cap"/>
        <s v="2 Pairs Cowhide Split Leather Work Gloves.32â„‰ Or Above Welding Gloves"/>
        <s v="Thickening Multipurpose Non Stick Easy To Clean Heat Resistant Spoon Pad"/>
        <s v="24 Grid Wall-mounted Sundries Organiser Fabric Closet Bag Storage Rack"/>
      </sharedItems>
    </cacheField>
    <cacheField name="Current price" numFmtId="164">
      <sharedItems containsSemiMixedTypes="0" containsString="0" containsNumber="1" containsInteger="1" minValue="38" maxValue="3750"/>
    </cacheField>
    <cacheField name="Old price" numFmtId="164">
      <sharedItems containsSemiMixedTypes="0" containsString="0" containsNumber="1" containsInteger="1" minValue="80" maxValue="6143"/>
    </cacheField>
    <cacheField name="Discount Amount" numFmtId="164">
      <sharedItems containsSemiMixedTypes="0" containsString="0" containsNumber="1" containsInteger="1" minValue="24" maxValue="2585"/>
    </cacheField>
    <cacheField name="Discount" numFmtId="9">
      <sharedItems containsSemiMixedTypes="0" containsString="0" containsNumber="1" minValue="0.01" maxValue="0.64" count="46">
        <n v="0.5"/>
        <n v="0.55000000000000004"/>
        <n v="0.47"/>
        <n v="0.45"/>
        <n v="0.43"/>
        <n v="0.13"/>
        <n v="0.52"/>
        <n v="0.49"/>
        <n v="0.22"/>
        <n v="0.54"/>
        <n v="0.46"/>
        <n v="0.39"/>
        <n v="0.28999999999999998"/>
        <n v="0.53"/>
        <n v="0.32"/>
        <n v="0.18"/>
        <n v="0.37"/>
        <n v="0.35"/>
        <n v="0.09"/>
        <n v="0.3"/>
        <n v="0.2"/>
        <n v="0.33"/>
        <n v="0.48"/>
        <n v="0.41"/>
        <n v="0.23"/>
        <n v="0.42"/>
        <n v="0.38"/>
        <n v="0.27"/>
        <n v="0.25"/>
        <n v="0.24"/>
        <n v="0.19"/>
        <n v="0.34"/>
        <n v="0.26"/>
        <n v="0.51"/>
        <n v="0.4"/>
        <n v="0.21"/>
        <n v="0.64"/>
        <n v="0.61"/>
        <n v="0.36"/>
        <n v="0.14000000000000001"/>
        <n v="0.11"/>
        <n v="0.08"/>
        <n v="0.04"/>
        <n v="0.03"/>
        <n v="0.02"/>
        <n v="0.01"/>
      </sharedItems>
    </cacheField>
    <cacheField name="Discount Category" numFmtId="9">
      <sharedItems count="3">
        <s v="High Discount"/>
        <s v="Low Discount"/>
        <s v="Medium Discount"/>
      </sharedItems>
    </cacheField>
    <cacheField name="Review" numFmtId="1">
      <sharedItems containsMixedTypes="1" containsNumber="1" containsInteger="1" minValue="1" maxValue="69" count="24">
        <n v="1"/>
        <n v="13"/>
        <n v="7"/>
        <n v="6"/>
        <n v="17"/>
        <n v="15"/>
        <n v="69"/>
        <n v="16"/>
        <n v="10"/>
        <n v="5"/>
        <n v="12"/>
        <n v="2"/>
        <n v="14"/>
        <n v="20"/>
        <n v="9"/>
        <n v="36"/>
        <n v="32"/>
        <n v="44"/>
        <n v="49"/>
        <n v="24"/>
        <n v="55"/>
        <n v="39"/>
        <n v="3"/>
        <s v="No Reviews"/>
      </sharedItems>
    </cacheField>
    <cacheField name="Rating (out of 5)" numFmtId="165">
      <sharedItems containsMixedTypes="1" containsNumber="1" minValue="2" maxValue="5" count="23">
        <n v="2"/>
        <n v="2.1"/>
        <n v="2.2000000000000002"/>
        <n v="2.2999999999999998"/>
        <n v="2.5"/>
        <n v="2.6"/>
        <n v="2.7"/>
        <n v="2.8"/>
        <n v="2.9"/>
        <n v="3"/>
        <n v="3.3"/>
        <n v="3.8"/>
        <n v="4"/>
        <n v="4.0999999999999996"/>
        <n v="4.2"/>
        <n v="4.3"/>
        <n v="4.4000000000000004"/>
        <n v="4.5"/>
        <n v="4.5999999999999996"/>
        <n v="4.7"/>
        <n v="4.8"/>
        <n v="5"/>
        <s v="No Rating"/>
      </sharedItems>
    </cacheField>
    <cacheField name="Rating  Category" numFmtId="0">
      <sharedItems count="4">
        <s v="Poor"/>
        <s v="Average"/>
        <s v="Excellent"/>
        <s v="NA"/>
      </sharedItems>
    </cacheField>
  </cacheFields>
  <extLst>
    <ext xmlns:x14="http://schemas.microsoft.com/office/spreadsheetml/2009/9/main" uri="{725AE2AE-9491-48be-B2B4-4EB974FC3084}">
      <x14:pivotCacheDefinition pivotCacheId="5630426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x v="0"/>
    <n v="450"/>
    <n v="900"/>
    <n v="450"/>
    <x v="0"/>
    <x v="0"/>
    <x v="0"/>
    <x v="0"/>
    <x v="0"/>
  </r>
  <r>
    <x v="1"/>
    <n v="2115"/>
    <n v="4700"/>
    <n v="2585"/>
    <x v="1"/>
    <x v="0"/>
    <x v="1"/>
    <x v="1"/>
    <x v="0"/>
  </r>
  <r>
    <x v="2"/>
    <n v="1570"/>
    <n v="2988"/>
    <n v="1418"/>
    <x v="2"/>
    <x v="0"/>
    <x v="2"/>
    <x v="1"/>
    <x v="0"/>
  </r>
  <r>
    <x v="3"/>
    <n v="968"/>
    <n v="1814"/>
    <n v="846"/>
    <x v="2"/>
    <x v="0"/>
    <x v="3"/>
    <x v="2"/>
    <x v="0"/>
  </r>
  <r>
    <x v="4"/>
    <n v="990"/>
    <n v="1814"/>
    <n v="824"/>
    <x v="3"/>
    <x v="0"/>
    <x v="3"/>
    <x v="2"/>
    <x v="0"/>
  </r>
  <r>
    <x v="5"/>
    <n v="1000"/>
    <n v="2000"/>
    <n v="1000"/>
    <x v="0"/>
    <x v="0"/>
    <x v="2"/>
    <x v="3"/>
    <x v="0"/>
  </r>
  <r>
    <x v="6"/>
    <n v="345"/>
    <n v="602"/>
    <n v="257"/>
    <x v="4"/>
    <x v="0"/>
    <x v="3"/>
    <x v="3"/>
    <x v="0"/>
  </r>
  <r>
    <x v="7"/>
    <n v="2170"/>
    <n v="2500"/>
    <n v="330"/>
    <x v="5"/>
    <x v="1"/>
    <x v="3"/>
    <x v="4"/>
    <x v="0"/>
  </r>
  <r>
    <x v="8"/>
    <n v="382"/>
    <n v="700"/>
    <n v="318"/>
    <x v="3"/>
    <x v="0"/>
    <x v="4"/>
    <x v="5"/>
    <x v="0"/>
  </r>
  <r>
    <x v="9"/>
    <n v="325"/>
    <n v="680"/>
    <n v="355"/>
    <x v="6"/>
    <x v="0"/>
    <x v="5"/>
    <x v="6"/>
    <x v="0"/>
  </r>
  <r>
    <x v="10"/>
    <n v="445"/>
    <n v="873"/>
    <n v="428"/>
    <x v="7"/>
    <x v="0"/>
    <x v="6"/>
    <x v="7"/>
    <x v="0"/>
  </r>
  <r>
    <x v="11"/>
    <n v="1220"/>
    <n v="1555"/>
    <n v="335"/>
    <x v="8"/>
    <x v="2"/>
    <x v="7"/>
    <x v="8"/>
    <x v="0"/>
  </r>
  <r>
    <x v="12"/>
    <n v="458"/>
    <n v="986"/>
    <n v="528"/>
    <x v="9"/>
    <x v="0"/>
    <x v="8"/>
    <x v="9"/>
    <x v="1"/>
  </r>
  <r>
    <x v="13"/>
    <n v="1189"/>
    <n v="2199"/>
    <n v="1010"/>
    <x v="10"/>
    <x v="0"/>
    <x v="0"/>
    <x v="9"/>
    <x v="1"/>
  </r>
  <r>
    <x v="14"/>
    <n v="509"/>
    <n v="899"/>
    <n v="390"/>
    <x v="4"/>
    <x v="0"/>
    <x v="9"/>
    <x v="9"/>
    <x v="1"/>
  </r>
  <r>
    <x v="15"/>
    <n v="3750"/>
    <n v="6143"/>
    <n v="2393"/>
    <x v="11"/>
    <x v="2"/>
    <x v="9"/>
    <x v="9"/>
    <x v="1"/>
  </r>
  <r>
    <x v="16"/>
    <n v="2300"/>
    <n v="3240"/>
    <n v="940"/>
    <x v="12"/>
    <x v="2"/>
    <x v="9"/>
    <x v="9"/>
    <x v="1"/>
  </r>
  <r>
    <x v="17"/>
    <n v="38"/>
    <n v="80"/>
    <n v="42"/>
    <x v="13"/>
    <x v="0"/>
    <x v="1"/>
    <x v="10"/>
    <x v="1"/>
  </r>
  <r>
    <x v="18"/>
    <n v="1600"/>
    <n v="2929"/>
    <n v="1329"/>
    <x v="3"/>
    <x v="0"/>
    <x v="9"/>
    <x v="11"/>
    <x v="1"/>
  </r>
  <r>
    <x v="19"/>
    <n v="1350"/>
    <n v="1990"/>
    <n v="640"/>
    <x v="14"/>
    <x v="2"/>
    <x v="1"/>
    <x v="11"/>
    <x v="1"/>
  </r>
  <r>
    <x v="20"/>
    <n v="2880"/>
    <n v="3520"/>
    <n v="640"/>
    <x v="15"/>
    <x v="1"/>
    <x v="10"/>
    <x v="11"/>
    <x v="1"/>
  </r>
  <r>
    <x v="21"/>
    <n v="330"/>
    <n v="647"/>
    <n v="317"/>
    <x v="7"/>
    <x v="0"/>
    <x v="0"/>
    <x v="12"/>
    <x v="1"/>
  </r>
  <r>
    <x v="22"/>
    <n v="988"/>
    <n v="1580"/>
    <n v="592"/>
    <x v="16"/>
    <x v="2"/>
    <x v="11"/>
    <x v="12"/>
    <x v="1"/>
  </r>
  <r>
    <x v="23"/>
    <n v="880"/>
    <n v="1350"/>
    <n v="470"/>
    <x v="17"/>
    <x v="2"/>
    <x v="3"/>
    <x v="12"/>
    <x v="1"/>
  </r>
  <r>
    <x v="24"/>
    <n v="2999"/>
    <n v="3290"/>
    <n v="291"/>
    <x v="18"/>
    <x v="1"/>
    <x v="5"/>
    <x v="12"/>
    <x v="1"/>
  </r>
  <r>
    <x v="25"/>
    <n v="527"/>
    <n v="999"/>
    <n v="472"/>
    <x v="2"/>
    <x v="0"/>
    <x v="12"/>
    <x v="13"/>
    <x v="1"/>
  </r>
  <r>
    <x v="26"/>
    <n v="1758"/>
    <n v="2499"/>
    <n v="741"/>
    <x v="19"/>
    <x v="2"/>
    <x v="13"/>
    <x v="13"/>
    <x v="1"/>
  </r>
  <r>
    <x v="27"/>
    <n v="799"/>
    <n v="999"/>
    <n v="200"/>
    <x v="20"/>
    <x v="2"/>
    <x v="10"/>
    <x v="13"/>
    <x v="1"/>
  </r>
  <r>
    <x v="28"/>
    <n v="1680"/>
    <n v="2499"/>
    <n v="819"/>
    <x v="21"/>
    <x v="2"/>
    <x v="14"/>
    <x v="14"/>
    <x v="1"/>
  </r>
  <r>
    <x v="29"/>
    <n v="2048"/>
    <n v="4500"/>
    <n v="2452"/>
    <x v="9"/>
    <x v="0"/>
    <x v="2"/>
    <x v="15"/>
    <x v="1"/>
  </r>
  <r>
    <x v="30"/>
    <n v="185"/>
    <n v="382"/>
    <n v="197"/>
    <x v="6"/>
    <x v="0"/>
    <x v="14"/>
    <x v="15"/>
    <x v="1"/>
  </r>
  <r>
    <x v="31"/>
    <n v="1820"/>
    <n v="3490"/>
    <n v="1670"/>
    <x v="22"/>
    <x v="0"/>
    <x v="14"/>
    <x v="15"/>
    <x v="1"/>
  </r>
  <r>
    <x v="32"/>
    <n v="389"/>
    <n v="656"/>
    <n v="267"/>
    <x v="23"/>
    <x v="0"/>
    <x v="15"/>
    <x v="15"/>
    <x v="1"/>
  </r>
  <r>
    <x v="33"/>
    <n v="1650"/>
    <n v="2150"/>
    <n v="500"/>
    <x v="24"/>
    <x v="2"/>
    <x v="12"/>
    <x v="16"/>
    <x v="1"/>
  </r>
  <r>
    <x v="34"/>
    <n v="501"/>
    <n v="860"/>
    <n v="359"/>
    <x v="25"/>
    <x v="0"/>
    <x v="3"/>
    <x v="17"/>
    <x v="2"/>
  </r>
  <r>
    <x v="35"/>
    <n v="1980"/>
    <n v="3200"/>
    <n v="1220"/>
    <x v="26"/>
    <x v="2"/>
    <x v="11"/>
    <x v="17"/>
    <x v="2"/>
  </r>
  <r>
    <x v="36"/>
    <n v="950"/>
    <n v="1525"/>
    <n v="575"/>
    <x v="26"/>
    <x v="2"/>
    <x v="11"/>
    <x v="17"/>
    <x v="2"/>
  </r>
  <r>
    <x v="37"/>
    <n v="1980"/>
    <n v="2699"/>
    <n v="719"/>
    <x v="27"/>
    <x v="2"/>
    <x v="16"/>
    <x v="17"/>
    <x v="2"/>
  </r>
  <r>
    <x v="38"/>
    <n v="998"/>
    <n v="1966"/>
    <n v="968"/>
    <x v="7"/>
    <x v="0"/>
    <x v="17"/>
    <x v="18"/>
    <x v="2"/>
  </r>
  <r>
    <x v="39"/>
    <n v="420"/>
    <n v="647"/>
    <n v="227"/>
    <x v="17"/>
    <x v="2"/>
    <x v="18"/>
    <x v="18"/>
    <x v="2"/>
  </r>
  <r>
    <x v="40"/>
    <n v="2199"/>
    <n v="2923"/>
    <n v="724"/>
    <x v="28"/>
    <x v="2"/>
    <x v="19"/>
    <x v="18"/>
    <x v="2"/>
  </r>
  <r>
    <x v="41"/>
    <n v="2319"/>
    <n v="3032"/>
    <n v="713"/>
    <x v="29"/>
    <x v="2"/>
    <x v="20"/>
    <x v="18"/>
    <x v="2"/>
  </r>
  <r>
    <x v="42"/>
    <n v="2999"/>
    <n v="3699"/>
    <n v="700"/>
    <x v="30"/>
    <x v="1"/>
    <x v="9"/>
    <x v="18"/>
    <x v="2"/>
  </r>
  <r>
    <x v="43"/>
    <n v="1580"/>
    <n v="2499"/>
    <n v="919"/>
    <x v="16"/>
    <x v="2"/>
    <x v="2"/>
    <x v="19"/>
    <x v="2"/>
  </r>
  <r>
    <x v="44"/>
    <n v="990"/>
    <n v="1500"/>
    <n v="510"/>
    <x v="31"/>
    <x v="2"/>
    <x v="21"/>
    <x v="19"/>
    <x v="2"/>
  </r>
  <r>
    <x v="45"/>
    <n v="980"/>
    <n v="1490"/>
    <n v="510"/>
    <x v="31"/>
    <x v="2"/>
    <x v="10"/>
    <x v="19"/>
    <x v="2"/>
  </r>
  <r>
    <x v="46"/>
    <n v="1940"/>
    <n v="2650"/>
    <n v="710"/>
    <x v="27"/>
    <x v="2"/>
    <x v="13"/>
    <x v="19"/>
    <x v="2"/>
  </r>
  <r>
    <x v="47"/>
    <n v="1274"/>
    <n v="2800"/>
    <n v="1526"/>
    <x v="1"/>
    <x v="0"/>
    <x v="9"/>
    <x v="20"/>
    <x v="2"/>
  </r>
  <r>
    <x v="48"/>
    <n v="552"/>
    <n v="1035"/>
    <n v="483"/>
    <x v="2"/>
    <x v="0"/>
    <x v="10"/>
    <x v="20"/>
    <x v="2"/>
  </r>
  <r>
    <x v="49"/>
    <n v="1740"/>
    <n v="2356"/>
    <n v="616"/>
    <x v="32"/>
    <x v="2"/>
    <x v="9"/>
    <x v="20"/>
    <x v="2"/>
  </r>
  <r>
    <x v="50"/>
    <n v="171"/>
    <n v="360"/>
    <n v="189"/>
    <x v="13"/>
    <x v="0"/>
    <x v="11"/>
    <x v="21"/>
    <x v="2"/>
  </r>
  <r>
    <x v="51"/>
    <n v="332"/>
    <n v="684"/>
    <n v="352"/>
    <x v="33"/>
    <x v="0"/>
    <x v="11"/>
    <x v="21"/>
    <x v="2"/>
  </r>
  <r>
    <x v="52"/>
    <n v="2025"/>
    <n v="3971"/>
    <n v="1946"/>
    <x v="7"/>
    <x v="0"/>
    <x v="22"/>
    <x v="21"/>
    <x v="2"/>
  </r>
  <r>
    <x v="53"/>
    <n v="979"/>
    <n v="1920"/>
    <n v="941"/>
    <x v="7"/>
    <x v="0"/>
    <x v="0"/>
    <x v="21"/>
    <x v="2"/>
  </r>
  <r>
    <x v="54"/>
    <n v="195"/>
    <n v="360"/>
    <n v="165"/>
    <x v="10"/>
    <x v="0"/>
    <x v="11"/>
    <x v="21"/>
    <x v="2"/>
  </r>
  <r>
    <x v="55"/>
    <n v="1620"/>
    <n v="2690"/>
    <n v="1070"/>
    <x v="34"/>
    <x v="2"/>
    <x v="0"/>
    <x v="21"/>
    <x v="2"/>
  </r>
  <r>
    <x v="56"/>
    <n v="3640"/>
    <n v="4588"/>
    <n v="948"/>
    <x v="35"/>
    <x v="2"/>
    <x v="0"/>
    <x v="21"/>
    <x v="2"/>
  </r>
  <r>
    <x v="57"/>
    <n v="199"/>
    <n v="553"/>
    <n v="354"/>
    <x v="36"/>
    <x v="0"/>
    <x v="23"/>
    <x v="22"/>
    <x v="3"/>
  </r>
  <r>
    <x v="58"/>
    <n v="199"/>
    <n v="504"/>
    <n v="305"/>
    <x v="37"/>
    <x v="0"/>
    <x v="23"/>
    <x v="22"/>
    <x v="3"/>
  </r>
  <r>
    <x v="59"/>
    <n v="1200"/>
    <n v="2400"/>
    <n v="1200"/>
    <x v="0"/>
    <x v="0"/>
    <x v="23"/>
    <x v="22"/>
    <x v="3"/>
  </r>
  <r>
    <x v="60"/>
    <n v="999"/>
    <n v="2000"/>
    <n v="1001"/>
    <x v="0"/>
    <x v="0"/>
    <x v="23"/>
    <x v="22"/>
    <x v="3"/>
  </r>
  <r>
    <x v="61"/>
    <n v="850"/>
    <n v="1700"/>
    <n v="850"/>
    <x v="0"/>
    <x v="0"/>
    <x v="23"/>
    <x v="22"/>
    <x v="3"/>
  </r>
  <r>
    <x v="62"/>
    <n v="299"/>
    <n v="600"/>
    <n v="301"/>
    <x v="0"/>
    <x v="0"/>
    <x v="23"/>
    <x v="22"/>
    <x v="3"/>
  </r>
  <r>
    <x v="63"/>
    <n v="238"/>
    <n v="476"/>
    <n v="238"/>
    <x v="0"/>
    <x v="0"/>
    <x v="23"/>
    <x v="22"/>
    <x v="3"/>
  </r>
  <r>
    <x v="64"/>
    <n v="799"/>
    <n v="1567"/>
    <n v="768"/>
    <x v="7"/>
    <x v="0"/>
    <x v="23"/>
    <x v="22"/>
    <x v="3"/>
  </r>
  <r>
    <x v="65"/>
    <n v="671"/>
    <n v="1316"/>
    <n v="645"/>
    <x v="7"/>
    <x v="0"/>
    <x v="23"/>
    <x v="22"/>
    <x v="3"/>
  </r>
  <r>
    <x v="66"/>
    <n v="525"/>
    <n v="1029"/>
    <n v="504"/>
    <x v="7"/>
    <x v="0"/>
    <x v="23"/>
    <x v="22"/>
    <x v="3"/>
  </r>
  <r>
    <x v="67"/>
    <n v="475"/>
    <n v="931"/>
    <n v="456"/>
    <x v="7"/>
    <x v="0"/>
    <x v="23"/>
    <x v="22"/>
    <x v="3"/>
  </r>
  <r>
    <x v="68"/>
    <n v="274"/>
    <n v="537"/>
    <n v="263"/>
    <x v="7"/>
    <x v="0"/>
    <x v="23"/>
    <x v="22"/>
    <x v="3"/>
  </r>
  <r>
    <x v="69"/>
    <n v="248"/>
    <n v="486"/>
    <n v="238"/>
    <x v="7"/>
    <x v="0"/>
    <x v="23"/>
    <x v="22"/>
    <x v="3"/>
  </r>
  <r>
    <x v="70"/>
    <n v="230"/>
    <n v="450"/>
    <n v="220"/>
    <x v="7"/>
    <x v="0"/>
    <x v="23"/>
    <x v="22"/>
    <x v="3"/>
  </r>
  <r>
    <x v="71"/>
    <n v="1300"/>
    <n v="2500"/>
    <n v="1200"/>
    <x v="22"/>
    <x v="0"/>
    <x v="23"/>
    <x v="22"/>
    <x v="3"/>
  </r>
  <r>
    <x v="72"/>
    <n v="699"/>
    <n v="1343"/>
    <n v="644"/>
    <x v="22"/>
    <x v="0"/>
    <x v="23"/>
    <x v="22"/>
    <x v="3"/>
  </r>
  <r>
    <x v="73"/>
    <n v="105"/>
    <n v="200"/>
    <n v="95"/>
    <x v="22"/>
    <x v="0"/>
    <x v="23"/>
    <x v="22"/>
    <x v="3"/>
  </r>
  <r>
    <x v="74"/>
    <n v="899"/>
    <n v="1699"/>
    <n v="800"/>
    <x v="2"/>
    <x v="0"/>
    <x v="23"/>
    <x v="22"/>
    <x v="3"/>
  </r>
  <r>
    <x v="75"/>
    <n v="790"/>
    <n v="1485"/>
    <n v="695"/>
    <x v="2"/>
    <x v="0"/>
    <x v="23"/>
    <x v="22"/>
    <x v="3"/>
  </r>
  <r>
    <x v="76"/>
    <n v="169"/>
    <n v="320"/>
    <n v="151"/>
    <x v="2"/>
    <x v="0"/>
    <x v="23"/>
    <x v="22"/>
    <x v="3"/>
  </r>
  <r>
    <x v="77"/>
    <n v="2200"/>
    <n v="4080"/>
    <n v="1880"/>
    <x v="10"/>
    <x v="0"/>
    <x v="23"/>
    <x v="22"/>
    <x v="3"/>
  </r>
  <r>
    <x v="78"/>
    <n v="499"/>
    <n v="900"/>
    <n v="401"/>
    <x v="3"/>
    <x v="0"/>
    <x v="23"/>
    <x v="22"/>
    <x v="3"/>
  </r>
  <r>
    <x v="79"/>
    <n v="690"/>
    <n v="1200"/>
    <n v="510"/>
    <x v="4"/>
    <x v="0"/>
    <x v="23"/>
    <x v="22"/>
    <x v="3"/>
  </r>
  <r>
    <x v="80"/>
    <n v="630"/>
    <n v="1100"/>
    <n v="470"/>
    <x v="4"/>
    <x v="0"/>
    <x v="23"/>
    <x v="22"/>
    <x v="3"/>
  </r>
  <r>
    <x v="81"/>
    <n v="1860"/>
    <n v="3220"/>
    <n v="1360"/>
    <x v="25"/>
    <x v="0"/>
    <x v="23"/>
    <x v="22"/>
    <x v="3"/>
  </r>
  <r>
    <x v="82"/>
    <n v="1080"/>
    <n v="1874"/>
    <n v="794"/>
    <x v="25"/>
    <x v="0"/>
    <x v="23"/>
    <x v="22"/>
    <x v="3"/>
  </r>
  <r>
    <x v="83"/>
    <n v="610"/>
    <n v="1060"/>
    <n v="450"/>
    <x v="25"/>
    <x v="0"/>
    <x v="23"/>
    <x v="22"/>
    <x v="3"/>
  </r>
  <r>
    <x v="84"/>
    <n v="1420"/>
    <n v="2420"/>
    <n v="1000"/>
    <x v="23"/>
    <x v="0"/>
    <x v="23"/>
    <x v="22"/>
    <x v="3"/>
  </r>
  <r>
    <x v="85"/>
    <n v="799"/>
    <n v="1343"/>
    <n v="544"/>
    <x v="23"/>
    <x v="0"/>
    <x v="23"/>
    <x v="22"/>
    <x v="3"/>
  </r>
  <r>
    <x v="86"/>
    <n v="2750"/>
    <n v="4471"/>
    <n v="1721"/>
    <x v="26"/>
    <x v="2"/>
    <x v="23"/>
    <x v="22"/>
    <x v="3"/>
  </r>
  <r>
    <x v="87"/>
    <n v="1200"/>
    <n v="1950"/>
    <n v="750"/>
    <x v="26"/>
    <x v="2"/>
    <x v="23"/>
    <x v="22"/>
    <x v="3"/>
  </r>
  <r>
    <x v="88"/>
    <n v="1460"/>
    <n v="2290"/>
    <n v="830"/>
    <x v="38"/>
    <x v="2"/>
    <x v="23"/>
    <x v="22"/>
    <x v="3"/>
  </r>
  <r>
    <x v="89"/>
    <n v="1190"/>
    <n v="1810"/>
    <n v="620"/>
    <x v="31"/>
    <x v="2"/>
    <x v="23"/>
    <x v="22"/>
    <x v="3"/>
  </r>
  <r>
    <x v="90"/>
    <n v="1150"/>
    <n v="1737"/>
    <n v="587"/>
    <x v="31"/>
    <x v="2"/>
    <x v="23"/>
    <x v="22"/>
    <x v="3"/>
  </r>
  <r>
    <x v="91"/>
    <n v="1190"/>
    <n v="1785"/>
    <n v="595"/>
    <x v="21"/>
    <x v="2"/>
    <x v="23"/>
    <x v="22"/>
    <x v="3"/>
  </r>
  <r>
    <x v="92"/>
    <n v="2799"/>
    <n v="3810"/>
    <n v="1011"/>
    <x v="27"/>
    <x v="2"/>
    <x v="23"/>
    <x v="22"/>
    <x v="3"/>
  </r>
  <r>
    <x v="93"/>
    <n v="198"/>
    <n v="260"/>
    <n v="62"/>
    <x v="29"/>
    <x v="2"/>
    <x v="23"/>
    <x v="22"/>
    <x v="3"/>
  </r>
  <r>
    <x v="94"/>
    <n v="299"/>
    <n v="384"/>
    <n v="85"/>
    <x v="8"/>
    <x v="2"/>
    <x v="23"/>
    <x v="22"/>
    <x v="3"/>
  </r>
  <r>
    <x v="95"/>
    <n v="1466"/>
    <n v="1699"/>
    <n v="233"/>
    <x v="39"/>
    <x v="1"/>
    <x v="23"/>
    <x v="22"/>
    <x v="3"/>
  </r>
  <r>
    <x v="96"/>
    <n v="1468"/>
    <n v="1699"/>
    <n v="231"/>
    <x v="39"/>
    <x v="1"/>
    <x v="23"/>
    <x v="22"/>
    <x v="3"/>
  </r>
  <r>
    <x v="97"/>
    <n v="799"/>
    <n v="900"/>
    <n v="101"/>
    <x v="40"/>
    <x v="1"/>
    <x v="23"/>
    <x v="22"/>
    <x v="3"/>
  </r>
  <r>
    <x v="98"/>
    <n v="1526"/>
    <n v="1660"/>
    <n v="134"/>
    <x v="41"/>
    <x v="1"/>
    <x v="23"/>
    <x v="22"/>
    <x v="3"/>
  </r>
  <r>
    <x v="99"/>
    <n v="3546"/>
    <n v="3699"/>
    <n v="153"/>
    <x v="42"/>
    <x v="1"/>
    <x v="23"/>
    <x v="22"/>
    <x v="3"/>
  </r>
  <r>
    <x v="100"/>
    <n v="1732"/>
    <n v="1799"/>
    <n v="67"/>
    <x v="42"/>
    <x v="1"/>
    <x v="23"/>
    <x v="22"/>
    <x v="3"/>
  </r>
  <r>
    <x v="101"/>
    <n v="1459"/>
    <n v="1499"/>
    <n v="40"/>
    <x v="43"/>
    <x v="1"/>
    <x v="23"/>
    <x v="22"/>
    <x v="3"/>
  </r>
  <r>
    <x v="102"/>
    <n v="1658"/>
    <n v="1699"/>
    <n v="41"/>
    <x v="44"/>
    <x v="1"/>
    <x v="23"/>
    <x v="22"/>
    <x v="3"/>
  </r>
  <r>
    <x v="103"/>
    <n v="1660"/>
    <n v="1699"/>
    <n v="39"/>
    <x v="44"/>
    <x v="1"/>
    <x v="23"/>
    <x v="22"/>
    <x v="3"/>
  </r>
  <r>
    <x v="104"/>
    <n v="1462"/>
    <n v="1499"/>
    <n v="37"/>
    <x v="44"/>
    <x v="1"/>
    <x v="23"/>
    <x v="22"/>
    <x v="3"/>
  </r>
  <r>
    <x v="105"/>
    <n v="2132"/>
    <n v="2169"/>
    <n v="37"/>
    <x v="44"/>
    <x v="1"/>
    <x v="23"/>
    <x v="22"/>
    <x v="3"/>
  </r>
  <r>
    <x v="106"/>
    <n v="1666"/>
    <n v="1699"/>
    <n v="33"/>
    <x v="44"/>
    <x v="1"/>
    <x v="23"/>
    <x v="22"/>
    <x v="3"/>
  </r>
  <r>
    <x v="107"/>
    <n v="1768"/>
    <n v="1799"/>
    <n v="31"/>
    <x v="44"/>
    <x v="1"/>
    <x v="23"/>
    <x v="22"/>
    <x v="3"/>
  </r>
  <r>
    <x v="108"/>
    <n v="1875"/>
    <n v="1899"/>
    <n v="24"/>
    <x v="45"/>
    <x v="1"/>
    <x v="23"/>
    <x v="2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7AC1DE-C958-4AF0-A208-CCE9C1D2A4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115" firstHeaderRow="1" firstDataRow="1" firstDataCol="1"/>
  <pivotFields count="9">
    <pivotField axis="axisRow" dataField="1" showAll="0" sortType="descending">
      <items count="110">
        <item x="35"/>
        <item x="44"/>
        <item x="36"/>
        <item x="19"/>
        <item x="45"/>
        <item x="10"/>
        <item x="92"/>
        <item x="18"/>
        <item x="41"/>
        <item x="93"/>
        <item x="106"/>
        <item x="24"/>
        <item x="108"/>
        <item x="59"/>
        <item x="87"/>
        <item x="75"/>
        <item x="15"/>
        <item x="5"/>
        <item x="38"/>
        <item x="79"/>
        <item x="17"/>
        <item x="69"/>
        <item x="48"/>
        <item x="67"/>
        <item x="81"/>
        <item x="7"/>
        <item x="26"/>
        <item x="37"/>
        <item x="46"/>
        <item x="88"/>
        <item x="1"/>
        <item x="57"/>
        <item x="74"/>
        <item x="91"/>
        <item x="70"/>
        <item x="3"/>
        <item x="82"/>
        <item x="84"/>
        <item x="8"/>
        <item x="64"/>
        <item x="51"/>
        <item x="4"/>
        <item x="66"/>
        <item x="83"/>
        <item x="53"/>
        <item x="76"/>
        <item x="62"/>
        <item x="65"/>
        <item x="68"/>
        <item x="89"/>
        <item x="60"/>
        <item x="72"/>
        <item x="50"/>
        <item x="58"/>
        <item x="100"/>
        <item x="85"/>
        <item x="22"/>
        <item x="55"/>
        <item x="2"/>
        <item x="39"/>
        <item x="30"/>
        <item x="33"/>
        <item x="27"/>
        <item x="21"/>
        <item x="9"/>
        <item x="56"/>
        <item x="16"/>
        <item x="29"/>
        <item x="52"/>
        <item x="34"/>
        <item x="47"/>
        <item x="86"/>
        <item x="31"/>
        <item x="23"/>
        <item x="90"/>
        <item x="42"/>
        <item x="13"/>
        <item x="25"/>
        <item x="99"/>
        <item x="63"/>
        <item x="28"/>
        <item x="80"/>
        <item x="77"/>
        <item x="101"/>
        <item x="12"/>
        <item x="95"/>
        <item x="97"/>
        <item x="54"/>
        <item x="103"/>
        <item x="94"/>
        <item x="49"/>
        <item x="40"/>
        <item x="104"/>
        <item x="20"/>
        <item x="71"/>
        <item x="32"/>
        <item x="73"/>
        <item x="105"/>
        <item x="102"/>
        <item x="78"/>
        <item x="107"/>
        <item x="11"/>
        <item x="61"/>
        <item x="98"/>
        <item x="0"/>
        <item x="96"/>
        <item x="6"/>
        <item x="43"/>
        <item x="14"/>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164" showAll="0"/>
    <pivotField numFmtId="9" showAll="0"/>
    <pivotField showAll="0">
      <items count="4">
        <item x="0"/>
        <item x="1"/>
        <item x="2"/>
        <item t="default"/>
      </items>
    </pivotField>
    <pivotField showAll="0"/>
    <pivotField showAll="0"/>
    <pivotField showAll="0">
      <items count="5">
        <item x="1"/>
        <item x="2"/>
        <item x="3"/>
        <item x="0"/>
        <item t="default"/>
      </items>
    </pivotField>
  </pivotFields>
  <rowFields count="1">
    <field x="0"/>
  </rowFields>
  <rowItems count="110">
    <i>
      <x v="63"/>
    </i>
    <i>
      <x v="95"/>
    </i>
    <i>
      <x v="79"/>
    </i>
    <i>
      <x v="1"/>
    </i>
    <i>
      <x v="55"/>
    </i>
    <i>
      <x v="2"/>
    </i>
    <i>
      <x v="71"/>
    </i>
    <i>
      <x v="3"/>
    </i>
    <i>
      <x v="87"/>
    </i>
    <i>
      <x v="4"/>
    </i>
    <i>
      <x v="103"/>
    </i>
    <i>
      <x v="5"/>
    </i>
    <i>
      <x v="59"/>
    </i>
    <i>
      <x v="6"/>
    </i>
    <i>
      <x v="67"/>
    </i>
    <i>
      <x v="7"/>
    </i>
    <i>
      <x v="75"/>
    </i>
    <i>
      <x v="8"/>
    </i>
    <i>
      <x v="83"/>
    </i>
    <i>
      <x v="9"/>
    </i>
    <i>
      <x v="91"/>
    </i>
    <i>
      <x v="10"/>
    </i>
    <i>
      <x v="99"/>
    </i>
    <i>
      <x v="11"/>
    </i>
    <i>
      <x v="107"/>
    </i>
    <i>
      <x v="12"/>
    </i>
    <i>
      <x v="57"/>
    </i>
    <i>
      <x v="13"/>
    </i>
    <i>
      <x v="61"/>
    </i>
    <i>
      <x v="14"/>
    </i>
    <i>
      <x v="65"/>
    </i>
    <i>
      <x v="15"/>
    </i>
    <i>
      <x v="69"/>
    </i>
    <i>
      <x v="16"/>
    </i>
    <i>
      <x v="73"/>
    </i>
    <i>
      <x v="17"/>
    </i>
    <i>
      <x v="77"/>
    </i>
    <i>
      <x v="18"/>
    </i>
    <i>
      <x v="81"/>
    </i>
    <i>
      <x v="19"/>
    </i>
    <i>
      <x v="85"/>
    </i>
    <i>
      <x v="20"/>
    </i>
    <i>
      <x v="89"/>
    </i>
    <i>
      <x v="21"/>
    </i>
    <i>
      <x v="93"/>
    </i>
    <i>
      <x v="22"/>
    </i>
    <i>
      <x v="97"/>
    </i>
    <i>
      <x v="23"/>
    </i>
    <i>
      <x v="101"/>
    </i>
    <i>
      <x v="24"/>
    </i>
    <i>
      <x v="105"/>
    </i>
    <i>
      <x v="25"/>
    </i>
    <i>
      <x/>
    </i>
    <i>
      <x v="26"/>
    </i>
    <i>
      <x v="56"/>
    </i>
    <i>
      <x v="27"/>
    </i>
    <i>
      <x v="58"/>
    </i>
    <i>
      <x v="28"/>
    </i>
    <i>
      <x v="60"/>
    </i>
    <i>
      <x v="29"/>
    </i>
    <i>
      <x v="62"/>
    </i>
    <i>
      <x v="30"/>
    </i>
    <i>
      <x v="64"/>
    </i>
    <i>
      <x v="31"/>
    </i>
    <i>
      <x v="66"/>
    </i>
    <i>
      <x v="32"/>
    </i>
    <i>
      <x v="68"/>
    </i>
    <i>
      <x v="33"/>
    </i>
    <i>
      <x v="70"/>
    </i>
    <i>
      <x v="34"/>
    </i>
    <i>
      <x v="72"/>
    </i>
    <i>
      <x v="35"/>
    </i>
    <i>
      <x v="74"/>
    </i>
    <i>
      <x v="36"/>
    </i>
    <i>
      <x v="76"/>
    </i>
    <i>
      <x v="37"/>
    </i>
    <i>
      <x v="78"/>
    </i>
    <i>
      <x v="38"/>
    </i>
    <i>
      <x v="80"/>
    </i>
    <i>
      <x v="39"/>
    </i>
    <i>
      <x v="82"/>
    </i>
    <i>
      <x v="40"/>
    </i>
    <i>
      <x v="84"/>
    </i>
    <i>
      <x v="41"/>
    </i>
    <i>
      <x v="86"/>
    </i>
    <i>
      <x v="42"/>
    </i>
    <i>
      <x v="88"/>
    </i>
    <i>
      <x v="43"/>
    </i>
    <i>
      <x v="90"/>
    </i>
    <i>
      <x v="44"/>
    </i>
    <i>
      <x v="92"/>
    </i>
    <i>
      <x v="45"/>
    </i>
    <i>
      <x v="94"/>
    </i>
    <i>
      <x v="46"/>
    </i>
    <i>
      <x v="96"/>
    </i>
    <i>
      <x v="47"/>
    </i>
    <i>
      <x v="98"/>
    </i>
    <i>
      <x v="48"/>
    </i>
    <i>
      <x v="100"/>
    </i>
    <i>
      <x v="49"/>
    </i>
    <i>
      <x v="102"/>
    </i>
    <i>
      <x v="50"/>
    </i>
    <i>
      <x v="104"/>
    </i>
    <i>
      <x v="51"/>
    </i>
    <i>
      <x v="106"/>
    </i>
    <i>
      <x v="52"/>
    </i>
    <i>
      <x v="108"/>
    </i>
    <i>
      <x v="53"/>
    </i>
    <i>
      <x v="54"/>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6E485A-AA91-4587-8126-44B2A0CBEF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2:B33" firstHeaderRow="1" firstDataRow="1" firstDataCol="0"/>
  <pivotFields count="9">
    <pivotField showAll="0"/>
    <pivotField dataField="1" numFmtId="164" showAll="0"/>
    <pivotField numFmtId="164" showAll="0"/>
    <pivotField numFmtId="164" showAll="0"/>
    <pivotField numFmtId="9" showAll="0"/>
    <pivotField showAll="0">
      <items count="4">
        <item x="0"/>
        <item x="1"/>
        <item x="2"/>
        <item t="default"/>
      </items>
    </pivotField>
    <pivotField showAll="0"/>
    <pivotField showAll="0"/>
    <pivotField showAll="0"/>
  </pivotFields>
  <rowItems count="1">
    <i/>
  </rowItems>
  <colItems count="1">
    <i/>
  </colItems>
  <dataFields count="1">
    <dataField name="Average of Current price" fld="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4C09A1-044F-44FA-A54B-9258DF3D5F4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ating Categories">
  <location ref="G24:H29" firstHeaderRow="1" firstDataRow="1" firstDataCol="1"/>
  <pivotFields count="9">
    <pivotField dataField="1" showAll="0"/>
    <pivotField numFmtId="164" showAll="0"/>
    <pivotField numFmtId="164" showAll="0"/>
    <pivotField numFmtId="164" showAll="0"/>
    <pivotField numFmtId="9" showAll="0"/>
    <pivotField showAll="0">
      <items count="4">
        <item x="0"/>
        <item x="1"/>
        <item x="2"/>
        <item t="default"/>
      </items>
    </pivotField>
    <pivotField showAll="0"/>
    <pivotField showAll="0"/>
    <pivotField axis="axisRow" showAll="0">
      <items count="5">
        <item x="1"/>
        <item x="2"/>
        <item x="3"/>
        <item x="0"/>
        <item t="default"/>
      </items>
    </pivotField>
  </pivotFields>
  <rowFields count="1">
    <field x="8"/>
  </rowFields>
  <rowItems count="5">
    <i>
      <x/>
    </i>
    <i>
      <x v="1"/>
    </i>
    <i>
      <x v="2"/>
    </i>
    <i>
      <x v="3"/>
    </i>
    <i t="grand">
      <x/>
    </i>
  </rowItems>
  <colItems count="1">
    <i/>
  </colItems>
  <dataFields count="1">
    <dataField name="Count of Product" fld="0" subtotal="count"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3"/>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8" count="1" selected="0">
            <x v="0"/>
          </reference>
        </references>
      </pivotArea>
    </chartFormat>
    <chartFormat chart="8" format="6">
      <pivotArea type="data" outline="0" fieldPosition="0">
        <references count="2">
          <reference field="4294967294" count="1" selected="0">
            <x v="0"/>
          </reference>
          <reference field="8" count="1" selected="0">
            <x v="1"/>
          </reference>
        </references>
      </pivotArea>
    </chartFormat>
    <chartFormat chart="8" format="7">
      <pivotArea type="data" outline="0" fieldPosition="0">
        <references count="2">
          <reference field="4294967294" count="1" selected="0">
            <x v="0"/>
          </reference>
          <reference field="8" count="1" selected="0">
            <x v="2"/>
          </reference>
        </references>
      </pivotArea>
    </chartFormat>
    <chartFormat chart="8" format="8">
      <pivotArea type="data" outline="0" fieldPosition="0">
        <references count="2">
          <reference field="4294967294" count="1" selected="0">
            <x v="0"/>
          </reference>
          <reference field="8" count="1" selected="0">
            <x v="3"/>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8" count="1" selected="0">
            <x v="0"/>
          </reference>
        </references>
      </pivotArea>
    </chartFormat>
    <chartFormat chart="9" format="11">
      <pivotArea type="data" outline="0" fieldPosition="0">
        <references count="2">
          <reference field="4294967294" count="1" selected="0">
            <x v="0"/>
          </reference>
          <reference field="8" count="1" selected="0">
            <x v="1"/>
          </reference>
        </references>
      </pivotArea>
    </chartFormat>
    <chartFormat chart="9" format="12">
      <pivotArea type="data" outline="0" fieldPosition="0">
        <references count="2">
          <reference field="4294967294" count="1" selected="0">
            <x v="0"/>
          </reference>
          <reference field="8" count="1" selected="0">
            <x v="2"/>
          </reference>
        </references>
      </pivotArea>
    </chartFormat>
    <chartFormat chart="9" format="13">
      <pivotArea type="data" outline="0" fieldPosition="0">
        <references count="2">
          <reference field="4294967294" count="1" selected="0">
            <x v="0"/>
          </reference>
          <reference field="8" count="1" selected="0">
            <x v="3"/>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EC7249-2FAD-4D73-A80D-7E4C12DB555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6:D37" firstHeaderRow="1" firstDataRow="1" firstDataCol="0"/>
  <pivotFields count="9">
    <pivotField showAll="0"/>
    <pivotField numFmtId="164" showAll="0"/>
    <pivotField numFmtId="164" showAll="0"/>
    <pivotField numFmtId="164" showAll="0"/>
    <pivotField numFmtId="9" showAll="0"/>
    <pivotField showAll="0"/>
    <pivotField dataField="1" showAll="0">
      <items count="25">
        <item x="0"/>
        <item x="11"/>
        <item x="22"/>
        <item x="9"/>
        <item x="3"/>
        <item x="2"/>
        <item x="14"/>
        <item x="8"/>
        <item x="10"/>
        <item x="1"/>
        <item x="12"/>
        <item x="5"/>
        <item x="7"/>
        <item x="4"/>
        <item x="13"/>
        <item x="19"/>
        <item x="16"/>
        <item x="15"/>
        <item x="21"/>
        <item x="17"/>
        <item x="18"/>
        <item x="20"/>
        <item x="6"/>
        <item x="23"/>
        <item t="default"/>
      </items>
    </pivotField>
    <pivotField showAll="0"/>
    <pivotField showAll="0"/>
  </pivotFields>
  <rowItems count="1">
    <i/>
  </rowItems>
  <colItems count="1">
    <i/>
  </colItems>
  <dataFields count="1">
    <dataField name="Sum of Review"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C17880-D085-494A-8D01-E536E5A8003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2:D33" firstHeaderRow="1" firstDataRow="1" firstDataCol="0"/>
  <pivotFields count="9">
    <pivotField dataField="1" showAll="0">
      <items count="110">
        <item x="35"/>
        <item x="44"/>
        <item x="36"/>
        <item x="19"/>
        <item x="45"/>
        <item x="10"/>
        <item x="92"/>
        <item x="18"/>
        <item x="41"/>
        <item x="93"/>
        <item x="106"/>
        <item x="24"/>
        <item x="108"/>
        <item x="59"/>
        <item x="87"/>
        <item x="75"/>
        <item x="15"/>
        <item x="5"/>
        <item x="38"/>
        <item x="79"/>
        <item x="17"/>
        <item x="69"/>
        <item x="48"/>
        <item x="67"/>
        <item x="81"/>
        <item x="7"/>
        <item x="26"/>
        <item x="37"/>
        <item x="46"/>
        <item x="88"/>
        <item x="1"/>
        <item x="57"/>
        <item x="74"/>
        <item x="91"/>
        <item x="70"/>
        <item x="3"/>
        <item x="82"/>
        <item x="84"/>
        <item x="8"/>
        <item x="64"/>
        <item x="51"/>
        <item x="4"/>
        <item x="66"/>
        <item x="83"/>
        <item x="53"/>
        <item x="76"/>
        <item x="62"/>
        <item x="65"/>
        <item x="68"/>
        <item x="89"/>
        <item x="60"/>
        <item x="72"/>
        <item x="50"/>
        <item x="58"/>
        <item x="100"/>
        <item x="85"/>
        <item x="22"/>
        <item x="55"/>
        <item x="2"/>
        <item x="39"/>
        <item x="30"/>
        <item x="33"/>
        <item x="27"/>
        <item x="21"/>
        <item x="9"/>
        <item x="56"/>
        <item x="16"/>
        <item x="29"/>
        <item x="52"/>
        <item x="34"/>
        <item x="47"/>
        <item x="86"/>
        <item x="31"/>
        <item x="23"/>
        <item x="90"/>
        <item x="42"/>
        <item x="13"/>
        <item x="25"/>
        <item x="99"/>
        <item x="63"/>
        <item x="28"/>
        <item x="80"/>
        <item x="77"/>
        <item x="101"/>
        <item x="12"/>
        <item x="95"/>
        <item x="97"/>
        <item x="54"/>
        <item x="103"/>
        <item x="94"/>
        <item x="49"/>
        <item x="40"/>
        <item x="104"/>
        <item x="20"/>
        <item x="71"/>
        <item x="32"/>
        <item x="73"/>
        <item x="105"/>
        <item x="102"/>
        <item x="78"/>
        <item x="107"/>
        <item x="11"/>
        <item x="61"/>
        <item x="98"/>
        <item x="0"/>
        <item x="96"/>
        <item x="6"/>
        <item x="43"/>
        <item x="14"/>
        <item t="default"/>
      </items>
    </pivotField>
    <pivotField numFmtId="164" showAll="0"/>
    <pivotField numFmtId="164" showAll="0"/>
    <pivotField numFmtId="164" showAll="0"/>
    <pivotField numFmtId="9" showAll="0"/>
    <pivotField showAll="0">
      <items count="4">
        <item x="0"/>
        <item x="1"/>
        <item x="2"/>
        <item t="default"/>
      </items>
    </pivotField>
    <pivotField showAll="0"/>
    <pivotField showAll="0"/>
    <pivotField showAll="0"/>
  </pivotFields>
  <rowItems count="1">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5E7C40-908C-449A-B118-0E54FC346B8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iscount Categories">
  <location ref="B25:C29" firstHeaderRow="1" firstDataRow="1" firstDataCol="1"/>
  <pivotFields count="9">
    <pivotField dataField="1" showAll="0">
      <items count="110">
        <item x="35"/>
        <item x="44"/>
        <item x="36"/>
        <item x="19"/>
        <item x="45"/>
        <item x="10"/>
        <item x="92"/>
        <item x="18"/>
        <item x="41"/>
        <item x="93"/>
        <item x="106"/>
        <item x="24"/>
        <item x="108"/>
        <item x="59"/>
        <item x="87"/>
        <item x="75"/>
        <item x="15"/>
        <item x="5"/>
        <item x="38"/>
        <item x="79"/>
        <item x="17"/>
        <item x="69"/>
        <item x="48"/>
        <item x="67"/>
        <item x="81"/>
        <item x="7"/>
        <item x="26"/>
        <item x="37"/>
        <item x="46"/>
        <item x="88"/>
        <item x="1"/>
        <item x="57"/>
        <item x="74"/>
        <item x="91"/>
        <item x="70"/>
        <item x="3"/>
        <item x="82"/>
        <item x="84"/>
        <item x="8"/>
        <item x="64"/>
        <item x="51"/>
        <item x="4"/>
        <item x="66"/>
        <item x="83"/>
        <item x="53"/>
        <item x="76"/>
        <item x="62"/>
        <item x="65"/>
        <item x="68"/>
        <item x="89"/>
        <item x="60"/>
        <item x="72"/>
        <item x="50"/>
        <item x="58"/>
        <item x="100"/>
        <item x="85"/>
        <item x="22"/>
        <item x="55"/>
        <item x="2"/>
        <item x="39"/>
        <item x="30"/>
        <item x="33"/>
        <item x="27"/>
        <item x="21"/>
        <item x="9"/>
        <item x="56"/>
        <item x="16"/>
        <item x="29"/>
        <item x="52"/>
        <item x="34"/>
        <item x="47"/>
        <item x="86"/>
        <item x="31"/>
        <item x="23"/>
        <item x="90"/>
        <item x="42"/>
        <item x="13"/>
        <item x="25"/>
        <item x="99"/>
        <item x="63"/>
        <item x="28"/>
        <item x="80"/>
        <item x="77"/>
        <item x="101"/>
        <item x="12"/>
        <item x="95"/>
        <item x="97"/>
        <item x="54"/>
        <item x="103"/>
        <item x="94"/>
        <item x="49"/>
        <item x="40"/>
        <item x="104"/>
        <item x="20"/>
        <item x="71"/>
        <item x="32"/>
        <item x="73"/>
        <item x="105"/>
        <item x="102"/>
        <item x="78"/>
        <item x="107"/>
        <item x="11"/>
        <item x="61"/>
        <item x="98"/>
        <item x="0"/>
        <item x="96"/>
        <item x="6"/>
        <item x="43"/>
        <item x="14"/>
        <item t="default"/>
      </items>
    </pivotField>
    <pivotField numFmtId="164" showAll="0"/>
    <pivotField numFmtId="164" showAll="0"/>
    <pivotField numFmtId="164" showAll="0"/>
    <pivotField numFmtId="9" showAll="0"/>
    <pivotField axis="axisRow" showAll="0">
      <items count="4">
        <item x="0"/>
        <item x="1"/>
        <item x="2"/>
        <item t="default"/>
      </items>
    </pivotField>
    <pivotField showAll="0"/>
    <pivotField showAll="0"/>
    <pivotField showAll="0">
      <items count="5">
        <item x="1"/>
        <item x="2"/>
        <item x="3"/>
        <item x="0"/>
        <item t="default"/>
      </items>
    </pivotField>
  </pivotFields>
  <rowFields count="1">
    <field x="5"/>
  </rowFields>
  <rowItems count="4">
    <i>
      <x/>
    </i>
    <i>
      <x v="1"/>
    </i>
    <i>
      <x v="2"/>
    </i>
    <i t="grand">
      <x/>
    </i>
  </rowItems>
  <colItems count="1">
    <i/>
  </colItems>
  <dataFields count="1">
    <dataField name="Count of Product" fld="0" subtotal="count" baseField="0" baseItem="0"/>
  </dataFields>
  <chartFormats count="8">
    <chartFormat chart="0"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5" count="1" selected="0">
            <x v="0"/>
          </reference>
        </references>
      </pivotArea>
    </chartFormat>
    <chartFormat chart="9" format="7">
      <pivotArea type="data" outline="0" fieldPosition="0">
        <references count="2">
          <reference field="4294967294" count="1" selected="0">
            <x v="0"/>
          </reference>
          <reference field="5" count="1" selected="0">
            <x v="1"/>
          </reference>
        </references>
      </pivotArea>
    </chartFormat>
    <chartFormat chart="9" format="8">
      <pivotArea type="data" outline="0" fieldPosition="0">
        <references count="2">
          <reference field="4294967294" count="1" selected="0">
            <x v="0"/>
          </reference>
          <reference field="5" count="1" selected="0">
            <x v="2"/>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E935B4-F8A7-4437-B9D0-E22A9D18782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9:B40" firstHeaderRow="1" firstDataRow="1" firstDataCol="0"/>
  <pivotFields count="9">
    <pivotField showAll="0"/>
    <pivotField numFmtId="164" showAll="0"/>
    <pivotField numFmtId="164" showAll="0"/>
    <pivotField numFmtId="164" showAll="0"/>
    <pivotField numFmtId="9" showAll="0"/>
    <pivotField showAll="0">
      <items count="4">
        <item x="0"/>
        <item x="1"/>
        <item x="2"/>
        <item t="default"/>
      </items>
    </pivotField>
    <pivotField showAll="0"/>
    <pivotField dataField="1" showAll="0">
      <items count="24">
        <item x="0"/>
        <item x="1"/>
        <item x="2"/>
        <item x="3"/>
        <item x="4"/>
        <item x="5"/>
        <item x="6"/>
        <item x="7"/>
        <item x="8"/>
        <item x="9"/>
        <item x="10"/>
        <item x="11"/>
        <item x="12"/>
        <item x="13"/>
        <item x="14"/>
        <item x="15"/>
        <item x="16"/>
        <item x="17"/>
        <item x="18"/>
        <item x="19"/>
        <item x="20"/>
        <item x="21"/>
        <item x="22"/>
        <item t="default"/>
      </items>
    </pivotField>
    <pivotField showAll="0"/>
  </pivotFields>
  <rowItems count="1">
    <i/>
  </rowItems>
  <colItems count="1">
    <i/>
  </colItems>
  <dataFields count="1">
    <dataField name="Average of Rating (out of 5)" fld="7" subtotal="average" baseField="0" baseItem="0" numFmtId="165"/>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F057BB-92DD-4CC5-826A-60D94E8566D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6:B37" firstHeaderRow="1" firstDataRow="1" firstDataCol="0"/>
  <pivotFields count="9">
    <pivotField showAll="0"/>
    <pivotField numFmtId="164" showAll="0"/>
    <pivotField numFmtId="164" showAll="0"/>
    <pivotField numFmtId="164" showAll="0"/>
    <pivotField dataField="1" numFmtId="9" showAll="0"/>
    <pivotField showAll="0">
      <items count="4">
        <item x="0"/>
        <item x="1"/>
        <item x="2"/>
        <item t="default"/>
      </items>
    </pivotField>
    <pivotField showAll="0"/>
    <pivotField showAll="0"/>
    <pivotField showAll="0"/>
  </pivotFields>
  <rowItems count="1">
    <i/>
  </rowItems>
  <colItems count="1">
    <i/>
  </colItems>
  <dataFields count="1">
    <dataField name="Average of Discount" fld="4"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D855D0-5D10-4340-A7FE-50EFCD1E78A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ating (out of 5)">
  <location ref="E5:F28" firstHeaderRow="1" firstDataRow="1" firstDataCol="1"/>
  <pivotFields count="9">
    <pivotField showAll="0"/>
    <pivotField numFmtId="164" showAll="0"/>
    <pivotField numFmtId="164" showAll="0"/>
    <pivotField numFmtId="164" showAll="0"/>
    <pivotField numFmtId="9" showAll="0"/>
    <pivotField showAll="0">
      <items count="4">
        <item x="0"/>
        <item x="1"/>
        <item x="2"/>
        <item t="default"/>
      </items>
    </pivotField>
    <pivotField dataField="1" showAll="0"/>
    <pivotField axis="axisRow" showAll="0">
      <items count="24">
        <item x="0"/>
        <item x="1"/>
        <item x="2"/>
        <item x="3"/>
        <item x="4"/>
        <item x="5"/>
        <item x="6"/>
        <item x="7"/>
        <item x="8"/>
        <item x="9"/>
        <item x="10"/>
        <item x="11"/>
        <item x="12"/>
        <item x="13"/>
        <item x="14"/>
        <item x="15"/>
        <item x="16"/>
        <item x="17"/>
        <item x="18"/>
        <item x="19"/>
        <item x="20"/>
        <item x="21"/>
        <item h="1" x="22"/>
        <item t="default"/>
      </items>
    </pivotField>
    <pivotField showAll="0">
      <items count="5">
        <item x="1"/>
        <item x="2"/>
        <item x="3"/>
        <item x="0"/>
        <item t="default"/>
      </items>
    </pivotField>
  </pivotFields>
  <rowFields count="1">
    <field x="7"/>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Review" fld="6" baseField="7"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1BED46-32BB-481F-BB51-74C9457399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iccount Percentage">
  <location ref="B5:C52" firstHeaderRow="1" firstDataRow="1" firstDataCol="1"/>
  <pivotFields count="9">
    <pivotField showAll="0"/>
    <pivotField numFmtId="164" showAll="0"/>
    <pivotField numFmtId="164" showAll="0"/>
    <pivotField numFmtId="164" showAll="0"/>
    <pivotField axis="axisRow" numFmtId="9" showAll="0" sortType="ascending">
      <items count="47">
        <item x="45"/>
        <item x="44"/>
        <item x="43"/>
        <item x="42"/>
        <item x="41"/>
        <item x="18"/>
        <item x="40"/>
        <item x="5"/>
        <item x="39"/>
        <item x="15"/>
        <item x="30"/>
        <item x="20"/>
        <item x="35"/>
        <item x="8"/>
        <item x="24"/>
        <item x="29"/>
        <item x="28"/>
        <item x="32"/>
        <item x="27"/>
        <item x="12"/>
        <item x="19"/>
        <item x="14"/>
        <item x="21"/>
        <item x="31"/>
        <item x="17"/>
        <item x="38"/>
        <item x="16"/>
        <item x="26"/>
        <item x="11"/>
        <item x="34"/>
        <item x="23"/>
        <item x="25"/>
        <item x="4"/>
        <item x="3"/>
        <item x="10"/>
        <item x="2"/>
        <item x="22"/>
        <item x="7"/>
        <item x="0"/>
        <item x="33"/>
        <item x="6"/>
        <item x="13"/>
        <item x="9"/>
        <item x="1"/>
        <item x="37"/>
        <item x="36"/>
        <item t="default"/>
      </items>
    </pivotField>
    <pivotField showAll="0">
      <items count="4">
        <item x="0"/>
        <item x="1"/>
        <item x="2"/>
        <item t="default"/>
      </items>
    </pivotField>
    <pivotField dataField="1" showAll="0"/>
    <pivotField showAll="0"/>
    <pivotField showAll="0">
      <items count="5">
        <item x="1"/>
        <item x="2"/>
        <item x="3"/>
        <item x="0"/>
        <item t="default"/>
      </items>
    </pivotField>
  </pivotFields>
  <rowFields count="1">
    <field x="4"/>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Reviews" fld="6" baseField="4"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FB3B99E-B04E-411B-86BD-C6576A1124B2}"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Top Products by Number of Reviews">
  <location ref="E43:F53" firstHeaderRow="1" firstDataRow="1" firstDataCol="1"/>
  <pivotFields count="9">
    <pivotField axis="axisRow" showAll="0" measureFilter="1" sortType="ascending">
      <items count="110">
        <item x="35"/>
        <item x="44"/>
        <item x="36"/>
        <item x="19"/>
        <item x="45"/>
        <item x="10"/>
        <item x="92"/>
        <item x="18"/>
        <item x="41"/>
        <item x="93"/>
        <item x="106"/>
        <item x="24"/>
        <item x="108"/>
        <item x="59"/>
        <item x="87"/>
        <item x="75"/>
        <item x="15"/>
        <item x="5"/>
        <item x="38"/>
        <item x="79"/>
        <item x="17"/>
        <item x="69"/>
        <item x="48"/>
        <item x="67"/>
        <item x="81"/>
        <item x="7"/>
        <item x="26"/>
        <item x="37"/>
        <item x="46"/>
        <item x="88"/>
        <item x="1"/>
        <item x="57"/>
        <item x="74"/>
        <item x="91"/>
        <item x="70"/>
        <item x="3"/>
        <item x="82"/>
        <item x="84"/>
        <item x="8"/>
        <item x="64"/>
        <item x="51"/>
        <item x="4"/>
        <item x="66"/>
        <item x="83"/>
        <item x="53"/>
        <item x="76"/>
        <item x="62"/>
        <item x="65"/>
        <item x="68"/>
        <item x="89"/>
        <item x="60"/>
        <item x="72"/>
        <item x="50"/>
        <item x="58"/>
        <item x="100"/>
        <item x="85"/>
        <item x="22"/>
        <item x="55"/>
        <item x="2"/>
        <item x="39"/>
        <item x="30"/>
        <item x="33"/>
        <item x="27"/>
        <item x="21"/>
        <item x="9"/>
        <item x="56"/>
        <item x="16"/>
        <item x="29"/>
        <item x="52"/>
        <item x="34"/>
        <item x="47"/>
        <item x="86"/>
        <item x="31"/>
        <item x="23"/>
        <item x="90"/>
        <item x="42"/>
        <item x="13"/>
        <item x="25"/>
        <item x="99"/>
        <item x="63"/>
        <item x="28"/>
        <item x="80"/>
        <item x="77"/>
        <item x="101"/>
        <item x="12"/>
        <item x="95"/>
        <item x="97"/>
        <item x="54"/>
        <item x="103"/>
        <item x="94"/>
        <item x="49"/>
        <item x="40"/>
        <item x="104"/>
        <item x="20"/>
        <item x="71"/>
        <item x="32"/>
        <item x="73"/>
        <item x="105"/>
        <item x="102"/>
        <item x="78"/>
        <item x="107"/>
        <item x="11"/>
        <item x="61"/>
        <item x="98"/>
        <item x="0"/>
        <item x="96"/>
        <item x="6"/>
        <item x="43"/>
        <item x="14"/>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164" showAll="0"/>
    <pivotField numFmtId="9" showAll="0"/>
    <pivotField showAll="0">
      <items count="4">
        <item x="0"/>
        <item x="1"/>
        <item x="2"/>
        <item t="default"/>
      </items>
    </pivotField>
    <pivotField dataField="1" showAll="0">
      <items count="25">
        <item x="0"/>
        <item x="11"/>
        <item x="22"/>
        <item x="9"/>
        <item x="3"/>
        <item x="2"/>
        <item x="14"/>
        <item x="8"/>
        <item x="10"/>
        <item x="1"/>
        <item x="12"/>
        <item x="5"/>
        <item x="7"/>
        <item x="4"/>
        <item x="13"/>
        <item x="19"/>
        <item x="16"/>
        <item x="15"/>
        <item x="21"/>
        <item x="17"/>
        <item x="18"/>
        <item x="20"/>
        <item x="6"/>
        <item x="23"/>
        <item t="default"/>
      </items>
    </pivotField>
    <pivotField showAll="0"/>
    <pivotField showAll="0">
      <items count="5">
        <item x="1"/>
        <item x="2"/>
        <item x="3"/>
        <item x="0"/>
        <item t="default"/>
      </items>
    </pivotField>
  </pivotFields>
  <rowFields count="1">
    <field x="0"/>
  </rowFields>
  <rowItems count="10">
    <i>
      <x v="26"/>
    </i>
    <i>
      <x v="28"/>
    </i>
    <i>
      <x v="91"/>
    </i>
    <i>
      <x v="27"/>
    </i>
    <i>
      <x v="95"/>
    </i>
    <i>
      <x v="1"/>
    </i>
    <i>
      <x v="18"/>
    </i>
    <i>
      <x v="59"/>
    </i>
    <i>
      <x v="8"/>
    </i>
    <i>
      <x v="5"/>
    </i>
  </rowItems>
  <colItems count="1">
    <i/>
  </colItems>
  <dataFields count="1">
    <dataField name=" Total Reviews" fld="6" baseField="0" baseItem="5"/>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63516C1-A24F-4DCC-8B5E-952FAECF5BE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op 10 Products by Discount Amount">
  <location ref="B5:C16" firstHeaderRow="1" firstDataRow="1" firstDataCol="1"/>
  <pivotFields count="9">
    <pivotField axis="axisRow" showAll="0" measureFilter="1" sortType="descending">
      <items count="110">
        <item x="35"/>
        <item x="44"/>
        <item x="36"/>
        <item x="19"/>
        <item x="45"/>
        <item x="10"/>
        <item x="92"/>
        <item x="18"/>
        <item x="41"/>
        <item x="93"/>
        <item x="106"/>
        <item x="24"/>
        <item x="108"/>
        <item x="59"/>
        <item x="87"/>
        <item x="75"/>
        <item x="15"/>
        <item x="5"/>
        <item x="38"/>
        <item x="79"/>
        <item x="17"/>
        <item x="69"/>
        <item x="48"/>
        <item x="67"/>
        <item x="81"/>
        <item x="7"/>
        <item x="26"/>
        <item x="37"/>
        <item x="46"/>
        <item x="88"/>
        <item x="1"/>
        <item x="57"/>
        <item x="74"/>
        <item x="91"/>
        <item x="70"/>
        <item x="3"/>
        <item x="82"/>
        <item x="84"/>
        <item x="8"/>
        <item x="64"/>
        <item x="51"/>
        <item x="4"/>
        <item x="66"/>
        <item x="83"/>
        <item x="53"/>
        <item x="76"/>
        <item x="62"/>
        <item x="65"/>
        <item x="68"/>
        <item x="89"/>
        <item x="60"/>
        <item x="72"/>
        <item x="50"/>
        <item x="58"/>
        <item x="100"/>
        <item x="85"/>
        <item x="22"/>
        <item x="55"/>
        <item x="2"/>
        <item x="39"/>
        <item x="30"/>
        <item x="33"/>
        <item x="27"/>
        <item x="21"/>
        <item x="9"/>
        <item x="56"/>
        <item x="16"/>
        <item x="29"/>
        <item x="52"/>
        <item x="34"/>
        <item x="47"/>
        <item x="86"/>
        <item x="31"/>
        <item x="23"/>
        <item x="90"/>
        <item x="42"/>
        <item x="13"/>
        <item x="25"/>
        <item x="99"/>
        <item x="63"/>
        <item x="28"/>
        <item x="80"/>
        <item x="77"/>
        <item x="101"/>
        <item x="12"/>
        <item x="95"/>
        <item x="97"/>
        <item x="54"/>
        <item x="103"/>
        <item x="94"/>
        <item x="49"/>
        <item x="40"/>
        <item x="104"/>
        <item x="20"/>
        <item x="71"/>
        <item x="32"/>
        <item x="73"/>
        <item x="105"/>
        <item x="102"/>
        <item x="78"/>
        <item x="107"/>
        <item x="11"/>
        <item x="61"/>
        <item x="98"/>
        <item x="0"/>
        <item x="96"/>
        <item x="6"/>
        <item x="43"/>
        <item x="14"/>
        <item t="default"/>
      </items>
      <autoSortScope>
        <pivotArea dataOnly="0" outline="0" fieldPosition="0">
          <references count="1">
            <reference field="4294967294" count="1" selected="0">
              <x v="0"/>
            </reference>
          </references>
        </pivotArea>
      </autoSortScope>
    </pivotField>
    <pivotField numFmtId="164" showAll="0"/>
    <pivotField numFmtId="164" showAll="0"/>
    <pivotField dataField="1" numFmtId="164" showAll="0"/>
    <pivotField numFmtId="9" showAll="0"/>
    <pivotField showAll="0">
      <items count="4">
        <item x="0"/>
        <item x="1"/>
        <item x="2"/>
        <item t="default"/>
      </items>
    </pivotField>
    <pivotField showAll="0"/>
    <pivotField showAll="0"/>
    <pivotField showAll="0">
      <items count="5">
        <item x="1"/>
        <item x="2"/>
        <item x="3"/>
        <item x="0"/>
        <item t="default"/>
      </items>
    </pivotField>
  </pivotFields>
  <rowFields count="1">
    <field x="0"/>
  </rowFields>
  <rowItems count="11">
    <i>
      <x v="30"/>
    </i>
    <i>
      <x v="67"/>
    </i>
    <i>
      <x v="16"/>
    </i>
    <i>
      <x v="68"/>
    </i>
    <i>
      <x v="82"/>
    </i>
    <i>
      <x v="71"/>
    </i>
    <i>
      <x v="72"/>
    </i>
    <i>
      <x v="70"/>
    </i>
    <i>
      <x v="58"/>
    </i>
    <i>
      <x v="24"/>
    </i>
    <i t="grand">
      <x/>
    </i>
  </rowItems>
  <colItems count="1">
    <i/>
  </colItems>
  <dataFields count="1">
    <dataField name="Discount Given" fld="3"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BEFDE97-5149-4B6B-BAE4-8E21EAF910A5}"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Bottom 5 Products by Rating">
  <location ref="B48:C53" firstHeaderRow="1" firstDataRow="1" firstDataCol="1"/>
  <pivotFields count="9">
    <pivotField axis="axisRow" showAll="0" measureFilter="1" sortType="ascending">
      <items count="110">
        <item x="35"/>
        <item x="44"/>
        <item x="36"/>
        <item x="19"/>
        <item x="45"/>
        <item x="10"/>
        <item x="92"/>
        <item x="18"/>
        <item x="41"/>
        <item x="93"/>
        <item x="106"/>
        <item x="24"/>
        <item x="108"/>
        <item x="59"/>
        <item x="87"/>
        <item x="75"/>
        <item x="15"/>
        <item x="5"/>
        <item x="38"/>
        <item x="79"/>
        <item x="17"/>
        <item x="69"/>
        <item x="48"/>
        <item x="67"/>
        <item x="81"/>
        <item x="7"/>
        <item x="26"/>
        <item x="37"/>
        <item x="46"/>
        <item x="88"/>
        <item x="1"/>
        <item x="57"/>
        <item x="74"/>
        <item x="91"/>
        <item x="70"/>
        <item x="3"/>
        <item x="82"/>
        <item x="84"/>
        <item x="8"/>
        <item x="64"/>
        <item x="51"/>
        <item x="4"/>
        <item x="66"/>
        <item x="83"/>
        <item x="53"/>
        <item x="76"/>
        <item x="62"/>
        <item x="65"/>
        <item x="68"/>
        <item x="89"/>
        <item x="60"/>
        <item x="72"/>
        <item x="50"/>
        <item x="58"/>
        <item x="100"/>
        <item x="85"/>
        <item x="22"/>
        <item x="55"/>
        <item x="2"/>
        <item x="39"/>
        <item x="30"/>
        <item x="33"/>
        <item x="27"/>
        <item x="21"/>
        <item x="9"/>
        <item x="56"/>
        <item x="16"/>
        <item x="29"/>
        <item x="52"/>
        <item x="34"/>
        <item x="47"/>
        <item x="86"/>
        <item x="31"/>
        <item x="23"/>
        <item x="90"/>
        <item x="42"/>
        <item x="13"/>
        <item x="25"/>
        <item x="99"/>
        <item x="63"/>
        <item x="28"/>
        <item x="80"/>
        <item x="77"/>
        <item x="101"/>
        <item x="12"/>
        <item x="95"/>
        <item x="97"/>
        <item x="54"/>
        <item x="103"/>
        <item x="94"/>
        <item x="49"/>
        <item x="40"/>
        <item x="104"/>
        <item x="20"/>
        <item x="71"/>
        <item x="32"/>
        <item x="73"/>
        <item x="105"/>
        <item x="102"/>
        <item x="78"/>
        <item x="107"/>
        <item x="11"/>
        <item x="61"/>
        <item x="98"/>
        <item x="0"/>
        <item x="96"/>
        <item x="6"/>
        <item x="43"/>
        <item x="14"/>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164" showAll="0"/>
    <pivotField numFmtId="9" showAll="0"/>
    <pivotField showAll="0">
      <items count="4">
        <item x="0"/>
        <item x="1"/>
        <item x="2"/>
        <item t="default"/>
      </items>
    </pivotField>
    <pivotField showAll="0"/>
    <pivotField dataField="1" showAll="0"/>
    <pivotField showAll="0">
      <items count="5">
        <item x="1"/>
        <item x="2"/>
        <item x="3"/>
        <item x="0"/>
        <item t="default"/>
      </items>
    </pivotField>
  </pivotFields>
  <rowFields count="1">
    <field x="0"/>
  </rowFields>
  <rowItems count="5">
    <i>
      <x v="104"/>
    </i>
    <i>
      <x v="30"/>
    </i>
    <i>
      <x v="58"/>
    </i>
    <i>
      <x v="41"/>
    </i>
    <i>
      <x v="35"/>
    </i>
  </rowItems>
  <colItems count="1">
    <i/>
  </colItems>
  <dataFields count="1">
    <dataField name="Product Rating (out of 5)" fld="7" baseField="0" baseItem="104"/>
  </dataFields>
  <pivotTableStyleInfo name="PivotStyleMedium10" showRowHeaders="1" showColHeaders="1" showRowStripes="0" showColStripes="0" showLastColumn="1"/>
  <filters count="1">
    <filter fld="0" type="valueBetween" evalOrder="-1" id="6" iMeasureFld="0">
      <autoFilter ref="A1">
        <filterColumn colId="0">
          <customFilters and="1">
            <customFilter operator="greaterThanOrEqual" val="2"/>
            <customFilter operator="lessThanOrEqual" val="2.2000000000000002"/>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6089C7B-3598-4726-B244-CCC33153985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op 5 products by Rating">
  <location ref="B37:C44" firstHeaderRow="1" firstDataRow="1" firstDataCol="1"/>
  <pivotFields count="9">
    <pivotField axis="axisRow" showAll="0" measureFilter="1">
      <items count="110">
        <item x="35"/>
        <item x="44"/>
        <item x="36"/>
        <item x="19"/>
        <item x="45"/>
        <item x="10"/>
        <item x="92"/>
        <item x="18"/>
        <item x="41"/>
        <item x="93"/>
        <item x="106"/>
        <item x="24"/>
        <item x="108"/>
        <item x="59"/>
        <item x="87"/>
        <item x="75"/>
        <item x="15"/>
        <item x="5"/>
        <item x="38"/>
        <item x="79"/>
        <item x="17"/>
        <item x="69"/>
        <item x="48"/>
        <item x="67"/>
        <item x="81"/>
        <item x="7"/>
        <item x="26"/>
        <item x="37"/>
        <item x="46"/>
        <item x="88"/>
        <item x="1"/>
        <item x="57"/>
        <item x="74"/>
        <item x="91"/>
        <item x="70"/>
        <item x="3"/>
        <item x="82"/>
        <item x="84"/>
        <item x="8"/>
        <item x="64"/>
        <item x="51"/>
        <item x="4"/>
        <item x="66"/>
        <item x="83"/>
        <item x="53"/>
        <item x="76"/>
        <item x="62"/>
        <item x="65"/>
        <item x="68"/>
        <item x="89"/>
        <item x="60"/>
        <item x="72"/>
        <item x="50"/>
        <item x="58"/>
        <item x="100"/>
        <item x="85"/>
        <item x="22"/>
        <item x="55"/>
        <item x="2"/>
        <item x="39"/>
        <item x="30"/>
        <item x="33"/>
        <item x="27"/>
        <item x="21"/>
        <item x="9"/>
        <item x="56"/>
        <item x="16"/>
        <item x="29"/>
        <item x="52"/>
        <item x="34"/>
        <item x="47"/>
        <item x="86"/>
        <item x="31"/>
        <item x="23"/>
        <item x="90"/>
        <item x="42"/>
        <item x="13"/>
        <item x="25"/>
        <item x="99"/>
        <item x="63"/>
        <item x="28"/>
        <item x="80"/>
        <item x="77"/>
        <item x="101"/>
        <item x="12"/>
        <item x="95"/>
        <item x="97"/>
        <item x="54"/>
        <item x="103"/>
        <item x="94"/>
        <item x="49"/>
        <item x="40"/>
        <item x="104"/>
        <item x="20"/>
        <item x="71"/>
        <item x="32"/>
        <item x="73"/>
        <item x="105"/>
        <item x="102"/>
        <item x="78"/>
        <item x="107"/>
        <item x="11"/>
        <item x="61"/>
        <item x="98"/>
        <item x="0"/>
        <item x="96"/>
        <item x="6"/>
        <item x="43"/>
        <item x="14"/>
        <item t="default"/>
      </items>
    </pivotField>
    <pivotField numFmtId="164" showAll="0"/>
    <pivotField numFmtId="164" showAll="0"/>
    <pivotField numFmtId="164" showAll="0"/>
    <pivotField numFmtId="9" showAll="0"/>
    <pivotField showAll="0">
      <items count="4">
        <item x="0"/>
        <item x="1"/>
        <item x="2"/>
        <item t="default"/>
      </items>
    </pivotField>
    <pivotField showAll="0"/>
    <pivotField dataField="1" showAll="0"/>
    <pivotField showAll="0">
      <items count="5">
        <item h="1" x="1"/>
        <item h="1" x="2"/>
        <item x="3"/>
        <item x="0"/>
        <item t="default"/>
      </items>
    </pivotField>
  </pivotFields>
  <rowFields count="1">
    <field x="0"/>
  </rowFields>
  <rowItems count="7">
    <i>
      <x v="40"/>
    </i>
    <i>
      <x v="44"/>
    </i>
    <i>
      <x v="52"/>
    </i>
    <i>
      <x v="57"/>
    </i>
    <i>
      <x v="65"/>
    </i>
    <i>
      <x v="68"/>
    </i>
    <i>
      <x v="87"/>
    </i>
  </rowItems>
  <colItems count="1">
    <i/>
  </colItems>
  <dataFields count="1">
    <dataField name="Product Rating (out of 5)" fld="7" baseField="0" baseItem="40"/>
  </dataFields>
  <pivotTableStyleInfo name="PivotStyleMedium10"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3A229FA-C1BF-4478-B8EC-C677D059388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Top 10 Products by Discount Percentage">
  <location ref="B21:C31" firstHeaderRow="1" firstDataRow="1" firstDataCol="1"/>
  <pivotFields count="9">
    <pivotField axis="axisRow" showAll="0" measureFilter="1" sortType="descending">
      <items count="110">
        <item x="35"/>
        <item x="44"/>
        <item x="36"/>
        <item x="19"/>
        <item x="45"/>
        <item x="10"/>
        <item x="92"/>
        <item x="18"/>
        <item x="41"/>
        <item x="93"/>
        <item x="106"/>
        <item x="24"/>
        <item x="108"/>
        <item x="59"/>
        <item x="87"/>
        <item x="75"/>
        <item x="15"/>
        <item x="5"/>
        <item x="38"/>
        <item x="79"/>
        <item x="17"/>
        <item x="69"/>
        <item x="48"/>
        <item x="67"/>
        <item x="81"/>
        <item x="7"/>
        <item x="26"/>
        <item x="37"/>
        <item x="46"/>
        <item x="88"/>
        <item x="1"/>
        <item x="57"/>
        <item x="74"/>
        <item x="91"/>
        <item x="70"/>
        <item x="3"/>
        <item x="82"/>
        <item x="84"/>
        <item x="8"/>
        <item x="64"/>
        <item x="51"/>
        <item x="4"/>
        <item x="66"/>
        <item x="83"/>
        <item x="53"/>
        <item x="76"/>
        <item x="62"/>
        <item x="65"/>
        <item x="68"/>
        <item x="89"/>
        <item x="60"/>
        <item x="72"/>
        <item x="50"/>
        <item x="58"/>
        <item x="100"/>
        <item x="85"/>
        <item x="22"/>
        <item x="55"/>
        <item x="2"/>
        <item x="39"/>
        <item x="30"/>
        <item x="33"/>
        <item x="27"/>
        <item x="21"/>
        <item x="9"/>
        <item x="56"/>
        <item x="16"/>
        <item x="29"/>
        <item x="52"/>
        <item x="34"/>
        <item x="47"/>
        <item x="86"/>
        <item x="31"/>
        <item x="23"/>
        <item x="90"/>
        <item x="42"/>
        <item x="13"/>
        <item x="25"/>
        <item x="99"/>
        <item x="63"/>
        <item x="28"/>
        <item x="80"/>
        <item x="77"/>
        <item x="101"/>
        <item x="12"/>
        <item x="95"/>
        <item x="97"/>
        <item x="54"/>
        <item x="103"/>
        <item x="94"/>
        <item x="49"/>
        <item x="40"/>
        <item x="104"/>
        <item x="20"/>
        <item x="71"/>
        <item x="32"/>
        <item x="73"/>
        <item x="105"/>
        <item x="102"/>
        <item x="78"/>
        <item x="107"/>
        <item x="11"/>
        <item x="61"/>
        <item x="98"/>
        <item x="0"/>
        <item x="96"/>
        <item x="6"/>
        <item x="43"/>
        <item x="14"/>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164" showAll="0"/>
    <pivotField dataField="1" numFmtId="9" showAll="0"/>
    <pivotField showAll="0">
      <items count="4">
        <item x="0"/>
        <item x="1"/>
        <item x="2"/>
        <item t="default"/>
      </items>
    </pivotField>
    <pivotField showAll="0"/>
    <pivotField showAll="0"/>
    <pivotField showAll="0">
      <items count="5">
        <item x="1"/>
        <item x="2"/>
        <item x="3"/>
        <item x="0"/>
        <item t="default"/>
      </items>
    </pivotField>
  </pivotFields>
  <rowFields count="1">
    <field x="0"/>
  </rowFields>
  <rowItems count="10">
    <i>
      <x v="31"/>
    </i>
    <i>
      <x v="53"/>
    </i>
    <i>
      <x v="70"/>
    </i>
    <i>
      <x v="30"/>
    </i>
    <i>
      <x v="67"/>
    </i>
    <i>
      <x v="84"/>
    </i>
    <i>
      <x v="52"/>
    </i>
    <i>
      <x v="20"/>
    </i>
    <i>
      <x v="64"/>
    </i>
    <i>
      <x v="60"/>
    </i>
  </rowItems>
  <colItems count="1">
    <i/>
  </colItems>
  <dataFields count="1">
    <dataField name="Discount Percentage" fld="4" baseField="0" baseItem="0" numFmtId="9"/>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AC2E5CB-D1C0-4209-BADE-FB341FE3F8D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Top 10 Products by Rating">
  <location ref="B58:C68" firstHeaderRow="1" firstDataRow="1" firstDataCol="1"/>
  <pivotFields count="9">
    <pivotField axis="axisRow" showAll="0" measureFilter="1" sortType="descending">
      <items count="110">
        <item x="35"/>
        <item x="44"/>
        <item x="36"/>
        <item x="19"/>
        <item x="45"/>
        <item x="10"/>
        <item x="92"/>
        <item x="18"/>
        <item x="41"/>
        <item x="93"/>
        <item x="106"/>
        <item x="24"/>
        <item x="108"/>
        <item x="59"/>
        <item x="87"/>
        <item x="75"/>
        <item x="15"/>
        <item x="5"/>
        <item x="38"/>
        <item x="79"/>
        <item x="17"/>
        <item x="69"/>
        <item x="48"/>
        <item x="67"/>
        <item x="81"/>
        <item x="7"/>
        <item x="26"/>
        <item x="37"/>
        <item x="46"/>
        <item x="88"/>
        <item x="1"/>
        <item x="57"/>
        <item x="74"/>
        <item x="91"/>
        <item x="70"/>
        <item x="3"/>
        <item x="82"/>
        <item x="84"/>
        <item x="8"/>
        <item x="64"/>
        <item x="51"/>
        <item x="4"/>
        <item x="66"/>
        <item x="83"/>
        <item x="53"/>
        <item x="76"/>
        <item x="62"/>
        <item x="65"/>
        <item x="68"/>
        <item x="89"/>
        <item x="60"/>
        <item x="72"/>
        <item x="50"/>
        <item x="58"/>
        <item x="100"/>
        <item x="85"/>
        <item x="22"/>
        <item x="55"/>
        <item x="2"/>
        <item x="39"/>
        <item x="30"/>
        <item x="33"/>
        <item x="27"/>
        <item x="21"/>
        <item x="9"/>
        <item x="56"/>
        <item x="16"/>
        <item x="29"/>
        <item x="52"/>
        <item x="34"/>
        <item x="47"/>
        <item x="86"/>
        <item x="31"/>
        <item x="23"/>
        <item x="90"/>
        <item x="42"/>
        <item x="13"/>
        <item x="25"/>
        <item x="99"/>
        <item x="63"/>
        <item x="28"/>
        <item x="80"/>
        <item x="77"/>
        <item x="101"/>
        <item x="12"/>
        <item x="95"/>
        <item x="97"/>
        <item x="54"/>
        <item x="103"/>
        <item x="94"/>
        <item x="49"/>
        <item x="40"/>
        <item x="104"/>
        <item x="20"/>
        <item x="71"/>
        <item x="32"/>
        <item x="73"/>
        <item x="105"/>
        <item x="102"/>
        <item x="78"/>
        <item x="107"/>
        <item x="11"/>
        <item x="61"/>
        <item x="98"/>
        <item x="0"/>
        <item x="96"/>
        <item x="6"/>
        <item x="43"/>
        <item x="14"/>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164" showAll="0"/>
    <pivotField numFmtId="9" showAll="0"/>
    <pivotField showAll="0">
      <items count="4">
        <item x="0"/>
        <item x="1"/>
        <item x="2"/>
        <item t="default"/>
      </items>
    </pivotField>
    <pivotField showAll="0"/>
    <pivotField dataField="1" showAll="0"/>
    <pivotField showAll="0">
      <items count="5">
        <item x="1"/>
        <item x="2"/>
        <item x="3"/>
        <item x="0"/>
        <item t="default"/>
      </items>
    </pivotField>
  </pivotFields>
  <rowFields count="1">
    <field x="0"/>
  </rowFields>
  <rowItems count="10">
    <i>
      <x v="52"/>
    </i>
    <i>
      <x v="68"/>
    </i>
    <i>
      <x v="65"/>
    </i>
    <i>
      <x v="40"/>
    </i>
    <i>
      <x v="87"/>
    </i>
    <i>
      <x v="44"/>
    </i>
    <i>
      <x v="57"/>
    </i>
    <i>
      <x v="70"/>
    </i>
    <i>
      <x v="90"/>
    </i>
    <i>
      <x v="22"/>
    </i>
  </rowItems>
  <colItems count="1">
    <i/>
  </colItems>
  <dataFields count="1">
    <dataField name="Product Rating (out of 5)" fld="7"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4E5B974-B878-4B3A-B268-08537CD053B9}"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roduct">
  <location ref="B3:E60" firstHeaderRow="0" firstDataRow="1" firstDataCol="1"/>
  <pivotFields count="9">
    <pivotField axis="axisRow" showAll="0" measureFilter="1">
      <items count="110">
        <item x="35"/>
        <item x="44"/>
        <item x="36"/>
        <item x="19"/>
        <item x="45"/>
        <item x="10"/>
        <item x="92"/>
        <item x="18"/>
        <item x="41"/>
        <item x="93"/>
        <item x="106"/>
        <item x="24"/>
        <item x="108"/>
        <item x="59"/>
        <item x="87"/>
        <item x="75"/>
        <item x="15"/>
        <item x="5"/>
        <item x="38"/>
        <item x="79"/>
        <item x="17"/>
        <item x="69"/>
        <item x="48"/>
        <item x="67"/>
        <item x="81"/>
        <item x="7"/>
        <item x="26"/>
        <item x="37"/>
        <item x="46"/>
        <item x="88"/>
        <item x="1"/>
        <item x="57"/>
        <item x="74"/>
        <item x="91"/>
        <item x="70"/>
        <item x="3"/>
        <item x="82"/>
        <item x="84"/>
        <item x="8"/>
        <item x="64"/>
        <item x="51"/>
        <item x="4"/>
        <item x="66"/>
        <item x="83"/>
        <item x="53"/>
        <item x="76"/>
        <item x="62"/>
        <item x="65"/>
        <item x="68"/>
        <item x="89"/>
        <item x="60"/>
        <item x="72"/>
        <item x="50"/>
        <item x="58"/>
        <item x="100"/>
        <item x="85"/>
        <item x="22"/>
        <item x="55"/>
        <item x="2"/>
        <item x="39"/>
        <item x="30"/>
        <item x="33"/>
        <item x="27"/>
        <item x="21"/>
        <item x="9"/>
        <item x="56"/>
        <item x="16"/>
        <item x="29"/>
        <item x="52"/>
        <item x="34"/>
        <item x="47"/>
        <item x="86"/>
        <item x="31"/>
        <item x="23"/>
        <item x="90"/>
        <item x="42"/>
        <item x="13"/>
        <item x="25"/>
        <item x="99"/>
        <item x="63"/>
        <item x="28"/>
        <item x="80"/>
        <item x="77"/>
        <item x="101"/>
        <item x="12"/>
        <item x="95"/>
        <item x="97"/>
        <item x="54"/>
        <item x="103"/>
        <item x="94"/>
        <item x="49"/>
        <item x="40"/>
        <item x="104"/>
        <item x="20"/>
        <item x="71"/>
        <item x="32"/>
        <item x="73"/>
        <item x="105"/>
        <item x="102"/>
        <item x="78"/>
        <item x="107"/>
        <item x="11"/>
        <item x="61"/>
        <item x="98"/>
        <item x="0"/>
        <item x="96"/>
        <item x="6"/>
        <item x="43"/>
        <item x="14"/>
        <item t="default"/>
      </items>
    </pivotField>
    <pivotField numFmtId="164" showAll="0"/>
    <pivotField numFmtId="164" showAll="0"/>
    <pivotField numFmtId="164" showAll="0"/>
    <pivotField dataField="1" numFmtId="9" showAll="0"/>
    <pivotField showAll="0">
      <items count="4">
        <item x="0"/>
        <item x="1"/>
        <item x="2"/>
        <item t="default"/>
      </items>
    </pivotField>
    <pivotField dataField="1" showAll="0"/>
    <pivotField dataField="1" showAll="0"/>
    <pivotField showAll="0">
      <items count="5">
        <item x="1"/>
        <item x="2"/>
        <item x="3"/>
        <item x="0"/>
        <item t="default"/>
      </items>
    </pivotField>
  </pivotFields>
  <rowFields count="1">
    <field x="0"/>
  </rowFields>
  <rowItems count="57">
    <i>
      <x/>
    </i>
    <i>
      <x v="1"/>
    </i>
    <i>
      <x v="2"/>
    </i>
    <i>
      <x v="3"/>
    </i>
    <i>
      <x v="4"/>
    </i>
    <i>
      <x v="5"/>
    </i>
    <i>
      <x v="7"/>
    </i>
    <i>
      <x v="8"/>
    </i>
    <i>
      <x v="11"/>
    </i>
    <i>
      <x v="16"/>
    </i>
    <i>
      <x v="17"/>
    </i>
    <i>
      <x v="18"/>
    </i>
    <i>
      <x v="20"/>
    </i>
    <i>
      <x v="22"/>
    </i>
    <i>
      <x v="25"/>
    </i>
    <i>
      <x v="26"/>
    </i>
    <i>
      <x v="27"/>
    </i>
    <i>
      <x v="28"/>
    </i>
    <i>
      <x v="30"/>
    </i>
    <i>
      <x v="35"/>
    </i>
    <i>
      <x v="38"/>
    </i>
    <i>
      <x v="40"/>
    </i>
    <i>
      <x v="41"/>
    </i>
    <i>
      <x v="44"/>
    </i>
    <i>
      <x v="52"/>
    </i>
    <i>
      <x v="56"/>
    </i>
    <i>
      <x v="57"/>
    </i>
    <i>
      <x v="58"/>
    </i>
    <i>
      <x v="59"/>
    </i>
    <i>
      <x v="60"/>
    </i>
    <i>
      <x v="61"/>
    </i>
    <i>
      <x v="62"/>
    </i>
    <i>
      <x v="63"/>
    </i>
    <i>
      <x v="64"/>
    </i>
    <i>
      <x v="65"/>
    </i>
    <i>
      <x v="66"/>
    </i>
    <i>
      <x v="67"/>
    </i>
    <i>
      <x v="68"/>
    </i>
    <i>
      <x v="69"/>
    </i>
    <i>
      <x v="70"/>
    </i>
    <i>
      <x v="72"/>
    </i>
    <i>
      <x v="73"/>
    </i>
    <i>
      <x v="75"/>
    </i>
    <i>
      <x v="76"/>
    </i>
    <i>
      <x v="77"/>
    </i>
    <i>
      <x v="80"/>
    </i>
    <i>
      <x v="84"/>
    </i>
    <i>
      <x v="87"/>
    </i>
    <i>
      <x v="90"/>
    </i>
    <i>
      <x v="91"/>
    </i>
    <i>
      <x v="93"/>
    </i>
    <i>
      <x v="95"/>
    </i>
    <i>
      <x v="101"/>
    </i>
    <i>
      <x v="104"/>
    </i>
    <i>
      <x v="106"/>
    </i>
    <i>
      <x v="107"/>
    </i>
    <i>
      <x v="108"/>
    </i>
  </rowItems>
  <colFields count="1">
    <field x="-2"/>
  </colFields>
  <colItems count="3">
    <i>
      <x/>
    </i>
    <i i="1">
      <x v="1"/>
    </i>
    <i i="2">
      <x v="2"/>
    </i>
  </colItems>
  <dataFields count="3">
    <dataField name="Product Rating (out of 5)" fld="7" baseField="0" baseItem="0"/>
    <dataField name="Number of Reviews" fld="6" baseField="0" baseItem="0"/>
    <dataField name="Percentage Discount" fld="4" baseField="0" baseItem="0" numFmtId="9"/>
  </dataFields>
  <formats count="1">
    <format dxfId="9">
      <pivotArea outline="0" collapsedLevelsAreSubtotals="1" fieldPosition="0">
        <references count="1">
          <reference field="4294967294" count="1" selected="0">
            <x v="0"/>
          </reference>
        </references>
      </pivotArea>
    </format>
  </formats>
  <conditionalFormats count="2">
    <conditionalFormat priority="2">
      <pivotAreas count="1">
        <pivotArea type="data" outline="0" collapsedLevelsAreSubtotals="1" fieldPosition="0">
          <references count="1">
            <reference field="4294967294" count="1" selected="0">
              <x v="0"/>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filters count="1">
    <filter fld="0" type="valueNotEqual" evalOrder="-1" id="1" iMeasureFld="0">
      <autoFilter ref="A1">
        <filterColumn colId="0">
          <customFilters>
            <customFilter operator="notEqual"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0C8A781E-6215-4BD7-A086-D607F9DB792C}" sourceName="Discount Category">
  <pivotTables>
    <pivotTable tabId="6" name="PivotTable7"/>
    <pivotTable tabId="3" name="PivotTable1"/>
    <pivotTable tabId="3" name="PivotTable2"/>
    <pivotTable tabId="3" name="PivotTable3"/>
    <pivotTable tabId="3" name="PivotTable4"/>
    <pivotTable tabId="2" name="PivotTable1"/>
    <pivotTable tabId="5" name="PivotTable1"/>
    <pivotTable tabId="5" name="PivotTable3"/>
    <pivotTable tabId="5" name="PivotTable4"/>
    <pivotTable tabId="5" name="PivotTable6"/>
    <pivotTable tabId="4" name="PivotTable1"/>
    <pivotTable tabId="4" name="PivotTable2"/>
    <pivotTable tabId="4" name="PivotTable3"/>
    <pivotTable tabId="3" name="PivotTable5"/>
    <pivotTable tabId="3" name="PivotTable6"/>
  </pivotTables>
  <data>
    <tabular pivotCacheId="56304269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_Category" xr10:uid="{92CC644A-5250-4382-821A-D74F2D8E0C3E}" sourceName="Rating  Category">
  <pivotTables>
    <pivotTable tabId="5" name="PivotTable4"/>
    <pivotTable tabId="3" name="PivotTable2"/>
    <pivotTable tabId="3" name="PivotTable3"/>
    <pivotTable tabId="2" name="PivotTable1"/>
    <pivotTable tabId="6" name="PivotTable7"/>
    <pivotTable tabId="5" name="PivotTable1"/>
    <pivotTable tabId="5" name="PivotTable3"/>
    <pivotTable tabId="5" name="PivotTable6"/>
    <pivotTable tabId="4" name="PivotTable1"/>
    <pivotTable tabId="4" name="PivotTable2"/>
    <pivotTable tabId="4" name="PivotTable3"/>
  </pivotTables>
  <data>
    <tabular pivotCacheId="563042699" crossFilter="showItemsWithNoData">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1" xr10:uid="{57DF3154-FD2F-4D53-9CED-8109CC3EDACD}" cache="Slicer_Discount_Category" caption="Discount Category" style="SlicerStyleDark2" rowHeight="246888"/>
  <slicer name="Rating  Category 1" xr10:uid="{13DA2B0B-FDBB-4080-A6F1-9F7DBB5487DD}" cache="Slicer_Rating__Category" caption="Rating  Category" style="SlicerStyleDark2" rowHeight="24688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2" xr10:uid="{24BE074C-EA9B-4A95-B417-1799E80FC4F9}" cache="Slicer_Discount_Category" caption="Discount Category"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55714097-355E-4DBD-859A-F9DC69F25896}" cache="Slicer_Rating__Category" caption="Rating  Category" style="SlicerStyleDark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D05DBEE3-DF8D-4204-A533-6D81760F8DBF}" cache="Slicer_Discount_Category" caption="Discount Category" style="SlicerStyleDark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18F546-8B55-47D2-896A-17BCF11DE8BA}" name="Table1" displayName="Table1" ref="A1:I110" totalsRowShown="0">
  <autoFilter ref="A1:I110" xr:uid="{ED18F546-8B55-47D2-896A-17BCF11DE8BA}"/>
  <sortState xmlns:xlrd2="http://schemas.microsoft.com/office/spreadsheetml/2017/richdata2" ref="A2:I110">
    <sortCondition ref="H1:H110"/>
  </sortState>
  <tableColumns count="9">
    <tableColumn id="1" xr3:uid="{E97173B3-C8AD-4623-BFFC-69ECCDCA504E}" name="Product"/>
    <tableColumn id="2" xr3:uid="{B35DF1A8-32D8-418F-A726-338EB359B323}" name="Current price" dataDxfId="7"/>
    <tableColumn id="3" xr3:uid="{21B793C8-C9B3-4F69-8E32-650194E7E30B}" name="Old price" dataDxfId="6"/>
    <tableColumn id="8" xr3:uid="{F5D17D6D-8D93-445C-A6D8-308EDF02B7AC}" name="Discount Amount" dataDxfId="5">
      <calculatedColumnFormula>Table1[[#This Row],[Old price]]-Table1[[#This Row],[Current price]]</calculatedColumnFormula>
    </tableColumn>
    <tableColumn id="4" xr3:uid="{E4301D25-D19C-42A9-BB07-3536602BA8C3}" name="Discount" dataDxfId="4"/>
    <tableColumn id="11" xr3:uid="{141F3C50-19E8-48FD-8299-EAA9BAB658FC}" name="Discount Category" dataDxfId="3">
      <calculatedColumnFormula>IF(Table1[[#This Row],[Discount]]&lt;20%,"Low Discount",IF(Table1[[#This Row],[Discount]]&lt;41%,"Medium Discount","High Discount"))</calculatedColumnFormula>
    </tableColumn>
    <tableColumn id="5" xr3:uid="{A1B19F6A-5C59-45B2-89EE-4EF94305473F}" name="Review" dataDxfId="2"/>
    <tableColumn id="6" xr3:uid="{A0F0E857-ADFA-4BD8-A637-1665F65D6AAF}" name="Rating (out of 5)" dataDxfId="1"/>
    <tableColumn id="10" xr3:uid="{947B77FF-37CC-4862-8F9C-9D206413A957}" name="Rating  Category" dataDxfId="0">
      <calculatedColumnFormula>IF(Table1[[#This Row],[Rating (out of 5)]]="No Rating","NA",IF(Table1[[#This Row],[Rating (out of 5)]]&lt;3,"Poor",IF(Table1[[#This Row],[Rating (out of 5)]]&lt;4.5,"Average","Excellent")))</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4.xml"/><Relationship Id="rId7" Type="http://schemas.microsoft.com/office/2007/relationships/slicer" Target="../slicers/slicer3.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drawing" Target="../drawings/drawing4.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FF831-3784-4833-AD3D-64E43B29AEFC}">
  <dimension ref="A1"/>
  <sheetViews>
    <sheetView showGridLines="0" showRowColHeaders="0" zoomScaleNormal="100" workbookViewId="0">
      <selection activeCell="AB30" sqref="AB30"/>
    </sheetView>
  </sheetViews>
  <sheetFormatPr defaultColWidth="8.88671875" defaultRowHeight="14.4" x14ac:dyDescent="0.3"/>
  <cols>
    <col min="1" max="16384" width="8.88671875" style="19"/>
  </cols>
  <sheetData/>
  <pageMargins left="0.7" right="0.7" top="0.75" bottom="0.75" header="0.3" footer="0.3"/>
  <pageSetup orientation="portrait" horizontalDpi="4294967293"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8E6B4-71B0-4318-9F8B-EC042B74D7B3}">
  <dimension ref="A1:L116"/>
  <sheetViews>
    <sheetView tabSelected="1" workbookViewId="0">
      <selection activeCell="L24" sqref="L24"/>
    </sheetView>
  </sheetViews>
  <sheetFormatPr defaultRowHeight="14.4" x14ac:dyDescent="0.3"/>
  <cols>
    <col min="1" max="1" width="85.33203125" bestFit="1" customWidth="1"/>
    <col min="2" max="2" width="18.33203125" style="3" bestFit="1" customWidth="1"/>
    <col min="3" max="3" width="18.33203125" bestFit="1" customWidth="1"/>
    <col min="4" max="4" width="18.33203125" customWidth="1"/>
    <col min="5" max="5" width="10.33203125" customWidth="1"/>
    <col min="6" max="6" width="19" customWidth="1"/>
    <col min="7" max="7" width="12.6640625" style="9" customWidth="1"/>
    <col min="8" max="8" width="15.6640625" customWidth="1"/>
    <col min="9" max="9" width="17" customWidth="1"/>
    <col min="10" max="10" width="13.44140625" customWidth="1"/>
  </cols>
  <sheetData>
    <row r="1" spans="1:9" s="2" customFormat="1" x14ac:dyDescent="0.3">
      <c r="A1" s="2" t="s">
        <v>0</v>
      </c>
      <c r="B1" s="4" t="s">
        <v>1</v>
      </c>
      <c r="C1" s="4" t="s">
        <v>2</v>
      </c>
      <c r="D1" s="4" t="s">
        <v>3</v>
      </c>
      <c r="E1" s="6" t="s">
        <v>4</v>
      </c>
      <c r="F1" s="6" t="s">
        <v>5</v>
      </c>
      <c r="G1" s="8" t="s">
        <v>6</v>
      </c>
      <c r="H1" s="10" t="s">
        <v>7</v>
      </c>
      <c r="I1" s="2" t="s">
        <v>8</v>
      </c>
    </row>
    <row r="2" spans="1:9" x14ac:dyDescent="0.3">
      <c r="A2" t="s">
        <v>9</v>
      </c>
      <c r="B2" s="3">
        <v>450</v>
      </c>
      <c r="C2" s="3">
        <v>900</v>
      </c>
      <c r="D2" s="3">
        <f>Table1[[#This Row],[Old price]]-Table1[[#This Row],[Current price]]</f>
        <v>450</v>
      </c>
      <c r="E2" s="1">
        <v>0.5</v>
      </c>
      <c r="F2" s="1" t="str">
        <f>IF(Table1[[#This Row],[Discount]]&lt;20%,"Low Discount",IF(Table1[[#This Row],[Discount]]&lt;41%,"Medium Discount","High Discount"))</f>
        <v>High Discount</v>
      </c>
      <c r="G2" s="9">
        <v>1</v>
      </c>
      <c r="H2" s="11">
        <v>2</v>
      </c>
      <c r="I2" t="str">
        <f>IF(Table1[[#This Row],[Rating (out of 5)]]="No Rating","NA",IF(Table1[[#This Row],[Rating (out of 5)]]&lt;3,"Poor",IF(Table1[[#This Row],[Rating (out of 5)]]&lt;4.5,"Average","Excellent")))</f>
        <v>Poor</v>
      </c>
    </row>
    <row r="3" spans="1:9" x14ac:dyDescent="0.3">
      <c r="A3" t="s">
        <v>10</v>
      </c>
      <c r="B3" s="3">
        <v>2115</v>
      </c>
      <c r="C3" s="3">
        <v>4700</v>
      </c>
      <c r="D3" s="3">
        <f>Table1[[#This Row],[Old price]]-Table1[[#This Row],[Current price]]</f>
        <v>2585</v>
      </c>
      <c r="E3" s="1">
        <v>0.55000000000000004</v>
      </c>
      <c r="F3" s="1" t="str">
        <f>IF(Table1[[#This Row],[Discount]]&lt;20%,"Low Discount",IF(Table1[[#This Row],[Discount]]&lt;41%,"Medium Discount","High Discount"))</f>
        <v>High Discount</v>
      </c>
      <c r="G3" s="9">
        <v>13</v>
      </c>
      <c r="H3" s="11">
        <v>2.1</v>
      </c>
      <c r="I3" t="str">
        <f>IF(Table1[[#This Row],[Rating (out of 5)]]="No Rating","NA",IF(Table1[[#This Row],[Rating (out of 5)]]&lt;3,"Poor",IF(Table1[[#This Row],[Rating (out of 5)]]&lt;4.5,"Average","Excellent")))</f>
        <v>Poor</v>
      </c>
    </row>
    <row r="4" spans="1:9" x14ac:dyDescent="0.3">
      <c r="A4" t="s">
        <v>11</v>
      </c>
      <c r="B4" s="3">
        <v>1570</v>
      </c>
      <c r="C4" s="3">
        <v>2988</v>
      </c>
      <c r="D4" s="3">
        <f>Table1[[#This Row],[Old price]]-Table1[[#This Row],[Current price]]</f>
        <v>1418</v>
      </c>
      <c r="E4" s="1">
        <v>0.47</v>
      </c>
      <c r="F4" s="1" t="str">
        <f>IF(Table1[[#This Row],[Discount]]&lt;20%,"Low Discount",IF(Table1[[#This Row],[Discount]]&lt;41%,"Medium Discount","High Discount"))</f>
        <v>High Discount</v>
      </c>
      <c r="G4" s="9">
        <v>7</v>
      </c>
      <c r="H4" s="11">
        <v>2.1</v>
      </c>
      <c r="I4" t="str">
        <f>IF(Table1[[#This Row],[Rating (out of 5)]]="No Rating","NA",IF(Table1[[#This Row],[Rating (out of 5)]]&lt;3,"Poor",IF(Table1[[#This Row],[Rating (out of 5)]]&lt;4.5,"Average","Excellent")))</f>
        <v>Poor</v>
      </c>
    </row>
    <row r="5" spans="1:9" x14ac:dyDescent="0.3">
      <c r="A5" t="s">
        <v>12</v>
      </c>
      <c r="B5" s="3">
        <v>968</v>
      </c>
      <c r="C5" s="3">
        <v>1814</v>
      </c>
      <c r="D5" s="3">
        <f>Table1[[#This Row],[Old price]]-Table1[[#This Row],[Current price]]</f>
        <v>846</v>
      </c>
      <c r="E5" s="1">
        <v>0.47</v>
      </c>
      <c r="F5" s="1" t="str">
        <f>IF(Table1[[#This Row],[Discount]]&lt;20%,"Low Discount",IF(Table1[[#This Row],[Discount]]&lt;41%,"Medium Discount","High Discount"))</f>
        <v>High Discount</v>
      </c>
      <c r="G5" s="9">
        <v>6</v>
      </c>
      <c r="H5" s="11">
        <v>2.2000000000000002</v>
      </c>
      <c r="I5" t="str">
        <f>IF(Table1[[#This Row],[Rating (out of 5)]]="No Rating","NA",IF(Table1[[#This Row],[Rating (out of 5)]]&lt;3,"Poor",IF(Table1[[#This Row],[Rating (out of 5)]]&lt;4.5,"Average","Excellent")))</f>
        <v>Poor</v>
      </c>
    </row>
    <row r="6" spans="1:9" x14ac:dyDescent="0.3">
      <c r="A6" t="s">
        <v>13</v>
      </c>
      <c r="B6" s="3">
        <v>990</v>
      </c>
      <c r="C6" s="3">
        <v>1814</v>
      </c>
      <c r="D6" s="3">
        <f>Table1[[#This Row],[Old price]]-Table1[[#This Row],[Current price]]</f>
        <v>824</v>
      </c>
      <c r="E6" s="1">
        <v>0.45</v>
      </c>
      <c r="F6" s="1" t="str">
        <f>IF(Table1[[#This Row],[Discount]]&lt;20%,"Low Discount",IF(Table1[[#This Row],[Discount]]&lt;41%,"Medium Discount","High Discount"))</f>
        <v>High Discount</v>
      </c>
      <c r="G6" s="9">
        <v>6</v>
      </c>
      <c r="H6" s="11">
        <v>2.2000000000000002</v>
      </c>
      <c r="I6" t="str">
        <f>IF(Table1[[#This Row],[Rating (out of 5)]]="No Rating","NA",IF(Table1[[#This Row],[Rating (out of 5)]]&lt;3,"Poor",IF(Table1[[#This Row],[Rating (out of 5)]]&lt;4.5,"Average","Excellent")))</f>
        <v>Poor</v>
      </c>
    </row>
    <row r="7" spans="1:9" x14ac:dyDescent="0.3">
      <c r="A7" t="s">
        <v>14</v>
      </c>
      <c r="B7" s="3">
        <v>1000</v>
      </c>
      <c r="C7" s="3">
        <v>2000</v>
      </c>
      <c r="D7" s="3">
        <f>Table1[[#This Row],[Old price]]-Table1[[#This Row],[Current price]]</f>
        <v>1000</v>
      </c>
      <c r="E7" s="1">
        <v>0.5</v>
      </c>
      <c r="F7" s="1" t="str">
        <f>IF(Table1[[#This Row],[Discount]]&lt;20%,"Low Discount",IF(Table1[[#This Row],[Discount]]&lt;41%,"Medium Discount","High Discount"))</f>
        <v>High Discount</v>
      </c>
      <c r="G7" s="9">
        <v>7</v>
      </c>
      <c r="H7" s="11">
        <v>2.2999999999999998</v>
      </c>
      <c r="I7" t="str">
        <f>IF(Table1[[#This Row],[Rating (out of 5)]]="No Rating","NA",IF(Table1[[#This Row],[Rating (out of 5)]]&lt;3,"Poor",IF(Table1[[#This Row],[Rating (out of 5)]]&lt;4.5,"Average","Excellent")))</f>
        <v>Poor</v>
      </c>
    </row>
    <row r="8" spans="1:9" x14ac:dyDescent="0.3">
      <c r="A8" t="s">
        <v>15</v>
      </c>
      <c r="B8" s="3">
        <v>345</v>
      </c>
      <c r="C8" s="3">
        <v>602</v>
      </c>
      <c r="D8" s="3">
        <f>Table1[[#This Row],[Old price]]-Table1[[#This Row],[Current price]]</f>
        <v>257</v>
      </c>
      <c r="E8" s="1">
        <v>0.43</v>
      </c>
      <c r="F8" s="1" t="str">
        <f>IF(Table1[[#This Row],[Discount]]&lt;20%,"Low Discount",IF(Table1[[#This Row],[Discount]]&lt;41%,"Medium Discount","High Discount"))</f>
        <v>High Discount</v>
      </c>
      <c r="G8" s="9">
        <v>6</v>
      </c>
      <c r="H8" s="11">
        <v>2.2999999999999998</v>
      </c>
      <c r="I8" t="str">
        <f>IF(Table1[[#This Row],[Rating (out of 5)]]="No Rating","NA",IF(Table1[[#This Row],[Rating (out of 5)]]&lt;3,"Poor",IF(Table1[[#This Row],[Rating (out of 5)]]&lt;4.5,"Average","Excellent")))</f>
        <v>Poor</v>
      </c>
    </row>
    <row r="9" spans="1:9" x14ac:dyDescent="0.3">
      <c r="A9" t="s">
        <v>16</v>
      </c>
      <c r="B9" s="3">
        <v>2170</v>
      </c>
      <c r="C9" s="3">
        <v>2500</v>
      </c>
      <c r="D9" s="3">
        <f>Table1[[#This Row],[Old price]]-Table1[[#This Row],[Current price]]</f>
        <v>330</v>
      </c>
      <c r="E9" s="1">
        <v>0.13</v>
      </c>
      <c r="F9" s="1" t="str">
        <f>IF(Table1[[#This Row],[Discount]]&lt;20%,"Low Discount",IF(Table1[[#This Row],[Discount]]&lt;41%,"Medium Discount","High Discount"))</f>
        <v>Low Discount</v>
      </c>
      <c r="G9" s="9">
        <v>6</v>
      </c>
      <c r="H9" s="11">
        <v>2.5</v>
      </c>
      <c r="I9" t="str">
        <f>IF(Table1[[#This Row],[Rating (out of 5)]]="No Rating","NA",IF(Table1[[#This Row],[Rating (out of 5)]]&lt;3,"Poor",IF(Table1[[#This Row],[Rating (out of 5)]]&lt;4.5,"Average","Excellent")))</f>
        <v>Poor</v>
      </c>
    </row>
    <row r="10" spans="1:9" x14ac:dyDescent="0.3">
      <c r="A10" t="s">
        <v>17</v>
      </c>
      <c r="B10" s="3">
        <v>382</v>
      </c>
      <c r="C10" s="3">
        <v>700</v>
      </c>
      <c r="D10" s="3">
        <f>Table1[[#This Row],[Old price]]-Table1[[#This Row],[Current price]]</f>
        <v>318</v>
      </c>
      <c r="E10" s="1">
        <v>0.45</v>
      </c>
      <c r="F10" s="1" t="str">
        <f>IF(Table1[[#This Row],[Discount]]&lt;20%,"Low Discount",IF(Table1[[#This Row],[Discount]]&lt;41%,"Medium Discount","High Discount"))</f>
        <v>High Discount</v>
      </c>
      <c r="G10" s="9">
        <v>17</v>
      </c>
      <c r="H10" s="11">
        <v>2.6</v>
      </c>
      <c r="I10" t="str">
        <f>IF(Table1[[#This Row],[Rating (out of 5)]]="No Rating","NA",IF(Table1[[#This Row],[Rating (out of 5)]]&lt;3,"Poor",IF(Table1[[#This Row],[Rating (out of 5)]]&lt;4.5,"Average","Excellent")))</f>
        <v>Poor</v>
      </c>
    </row>
    <row r="11" spans="1:9" x14ac:dyDescent="0.3">
      <c r="A11" t="s">
        <v>18</v>
      </c>
      <c r="B11" s="3">
        <v>325</v>
      </c>
      <c r="C11" s="3">
        <v>680</v>
      </c>
      <c r="D11" s="3">
        <f>Table1[[#This Row],[Old price]]-Table1[[#This Row],[Current price]]</f>
        <v>355</v>
      </c>
      <c r="E11" s="1">
        <v>0.52</v>
      </c>
      <c r="F11" s="1" t="str">
        <f>IF(Table1[[#This Row],[Discount]]&lt;20%,"Low Discount",IF(Table1[[#This Row],[Discount]]&lt;41%,"Medium Discount","High Discount"))</f>
        <v>High Discount</v>
      </c>
      <c r="G11" s="9">
        <v>15</v>
      </c>
      <c r="H11" s="11">
        <v>2.7</v>
      </c>
      <c r="I11" t="str">
        <f>IF(Table1[[#This Row],[Rating (out of 5)]]="No Rating","NA",IF(Table1[[#This Row],[Rating (out of 5)]]&lt;3,"Poor",IF(Table1[[#This Row],[Rating (out of 5)]]&lt;4.5,"Average","Excellent")))</f>
        <v>Poor</v>
      </c>
    </row>
    <row r="12" spans="1:9" x14ac:dyDescent="0.3">
      <c r="A12" t="s">
        <v>19</v>
      </c>
      <c r="B12" s="3">
        <v>445</v>
      </c>
      <c r="C12" s="3">
        <v>873</v>
      </c>
      <c r="D12" s="3">
        <f>Table1[[#This Row],[Old price]]-Table1[[#This Row],[Current price]]</f>
        <v>428</v>
      </c>
      <c r="E12" s="1">
        <v>0.49</v>
      </c>
      <c r="F12" s="1" t="str">
        <f>IF(Table1[[#This Row],[Discount]]&lt;20%,"Low Discount",IF(Table1[[#This Row],[Discount]]&lt;41%,"Medium Discount","High Discount"))</f>
        <v>High Discount</v>
      </c>
      <c r="G12" s="9">
        <v>69</v>
      </c>
      <c r="H12" s="11">
        <v>2.8</v>
      </c>
      <c r="I12" t="str">
        <f>IF(Table1[[#This Row],[Rating (out of 5)]]="No Rating","NA",IF(Table1[[#This Row],[Rating (out of 5)]]&lt;3,"Poor",IF(Table1[[#This Row],[Rating (out of 5)]]&lt;4.5,"Average","Excellent")))</f>
        <v>Poor</v>
      </c>
    </row>
    <row r="13" spans="1:9" x14ac:dyDescent="0.3">
      <c r="A13" t="s">
        <v>20</v>
      </c>
      <c r="B13" s="3">
        <v>1220</v>
      </c>
      <c r="C13" s="3">
        <v>1555</v>
      </c>
      <c r="D13" s="3">
        <f>Table1[[#This Row],[Old price]]-Table1[[#This Row],[Current price]]</f>
        <v>335</v>
      </c>
      <c r="E13" s="1">
        <v>0.22</v>
      </c>
      <c r="F13" s="1" t="str">
        <f>IF(Table1[[#This Row],[Discount]]&lt;20%,"Low Discount",IF(Table1[[#This Row],[Discount]]&lt;41%,"Medium Discount","High Discount"))</f>
        <v>Medium Discount</v>
      </c>
      <c r="G13" s="9">
        <v>16</v>
      </c>
      <c r="H13" s="11">
        <v>2.9</v>
      </c>
      <c r="I13" t="str">
        <f>IF(Table1[[#This Row],[Rating (out of 5)]]="No Rating","NA",IF(Table1[[#This Row],[Rating (out of 5)]]&lt;3,"Poor",IF(Table1[[#This Row],[Rating (out of 5)]]&lt;4.5,"Average","Excellent")))</f>
        <v>Poor</v>
      </c>
    </row>
    <row r="14" spans="1:9" x14ac:dyDescent="0.3">
      <c r="A14" t="s">
        <v>21</v>
      </c>
      <c r="B14" s="3">
        <v>458</v>
      </c>
      <c r="C14" s="3">
        <v>986</v>
      </c>
      <c r="D14" s="3">
        <f>Table1[[#This Row],[Old price]]-Table1[[#This Row],[Current price]]</f>
        <v>528</v>
      </c>
      <c r="E14" s="1">
        <v>0.54</v>
      </c>
      <c r="F14" s="1" t="str">
        <f>IF(Table1[[#This Row],[Discount]]&lt;20%,"Low Discount",IF(Table1[[#This Row],[Discount]]&lt;41%,"Medium Discount","High Discount"))</f>
        <v>High Discount</v>
      </c>
      <c r="G14" s="9">
        <v>10</v>
      </c>
      <c r="H14" s="11">
        <v>3</v>
      </c>
      <c r="I14" t="str">
        <f>IF(Table1[[#This Row],[Rating (out of 5)]]="No Rating","NA",IF(Table1[[#This Row],[Rating (out of 5)]]&lt;3,"Poor",IF(Table1[[#This Row],[Rating (out of 5)]]&lt;4.5,"Average","Excellent")))</f>
        <v>Average</v>
      </c>
    </row>
    <row r="15" spans="1:9" x14ac:dyDescent="0.3">
      <c r="A15" t="s">
        <v>22</v>
      </c>
      <c r="B15" s="3">
        <v>1189</v>
      </c>
      <c r="C15" s="3">
        <v>2199</v>
      </c>
      <c r="D15" s="3">
        <f>Table1[[#This Row],[Old price]]-Table1[[#This Row],[Current price]]</f>
        <v>1010</v>
      </c>
      <c r="E15" s="1">
        <v>0.46</v>
      </c>
      <c r="F15" s="1" t="str">
        <f>IF(Table1[[#This Row],[Discount]]&lt;20%,"Low Discount",IF(Table1[[#This Row],[Discount]]&lt;41%,"Medium Discount","High Discount"))</f>
        <v>High Discount</v>
      </c>
      <c r="G15" s="9">
        <v>1</v>
      </c>
      <c r="H15" s="11">
        <v>3</v>
      </c>
      <c r="I15" t="str">
        <f>IF(Table1[[#This Row],[Rating (out of 5)]]="No Rating","NA",IF(Table1[[#This Row],[Rating (out of 5)]]&lt;3,"Poor",IF(Table1[[#This Row],[Rating (out of 5)]]&lt;4.5,"Average","Excellent")))</f>
        <v>Average</v>
      </c>
    </row>
    <row r="16" spans="1:9" x14ac:dyDescent="0.3">
      <c r="A16" t="s">
        <v>23</v>
      </c>
      <c r="B16" s="3">
        <v>509</v>
      </c>
      <c r="C16" s="3">
        <v>899</v>
      </c>
      <c r="D16" s="3">
        <f>Table1[[#This Row],[Old price]]-Table1[[#This Row],[Current price]]</f>
        <v>390</v>
      </c>
      <c r="E16" s="1">
        <v>0.43</v>
      </c>
      <c r="F16" s="1" t="str">
        <f>IF(Table1[[#This Row],[Discount]]&lt;20%,"Low Discount",IF(Table1[[#This Row],[Discount]]&lt;41%,"Medium Discount","High Discount"))</f>
        <v>High Discount</v>
      </c>
      <c r="G16" s="9">
        <v>5</v>
      </c>
      <c r="H16" s="11">
        <v>3</v>
      </c>
      <c r="I16" t="str">
        <f>IF(Table1[[#This Row],[Rating (out of 5)]]="No Rating","NA",IF(Table1[[#This Row],[Rating (out of 5)]]&lt;3,"Poor",IF(Table1[[#This Row],[Rating (out of 5)]]&lt;4.5,"Average","Excellent")))</f>
        <v>Average</v>
      </c>
    </row>
    <row r="17" spans="1:12" x14ac:dyDescent="0.3">
      <c r="A17" t="s">
        <v>24</v>
      </c>
      <c r="B17" s="3">
        <v>3750</v>
      </c>
      <c r="C17" s="3">
        <v>6143</v>
      </c>
      <c r="D17" s="3">
        <f>Table1[[#This Row],[Old price]]-Table1[[#This Row],[Current price]]</f>
        <v>2393</v>
      </c>
      <c r="E17" s="1">
        <v>0.39</v>
      </c>
      <c r="F17" s="1" t="str">
        <f>IF(Table1[[#This Row],[Discount]]&lt;20%,"Low Discount",IF(Table1[[#This Row],[Discount]]&lt;41%,"Medium Discount","High Discount"))</f>
        <v>Medium Discount</v>
      </c>
      <c r="G17" s="9">
        <v>5</v>
      </c>
      <c r="H17" s="11">
        <v>3</v>
      </c>
      <c r="I17" t="str">
        <f>IF(Table1[[#This Row],[Rating (out of 5)]]="No Rating","NA",IF(Table1[[#This Row],[Rating (out of 5)]]&lt;3,"Poor",IF(Table1[[#This Row],[Rating (out of 5)]]&lt;4.5,"Average","Excellent")))</f>
        <v>Average</v>
      </c>
    </row>
    <row r="18" spans="1:12" x14ac:dyDescent="0.3">
      <c r="A18" t="s">
        <v>25</v>
      </c>
      <c r="B18" s="3">
        <v>2300</v>
      </c>
      <c r="C18" s="3">
        <v>3240</v>
      </c>
      <c r="D18" s="3">
        <f>Table1[[#This Row],[Old price]]-Table1[[#This Row],[Current price]]</f>
        <v>940</v>
      </c>
      <c r="E18" s="1">
        <v>0.28999999999999998</v>
      </c>
      <c r="F18" s="1" t="str">
        <f>IF(Table1[[#This Row],[Discount]]&lt;20%,"Low Discount",IF(Table1[[#This Row],[Discount]]&lt;41%,"Medium Discount","High Discount"))</f>
        <v>Medium Discount</v>
      </c>
      <c r="G18" s="9">
        <v>5</v>
      </c>
      <c r="H18" s="11">
        <v>3</v>
      </c>
      <c r="I18" t="str">
        <f>IF(Table1[[#This Row],[Rating (out of 5)]]="No Rating","NA",IF(Table1[[#This Row],[Rating (out of 5)]]&lt;3,"Poor",IF(Table1[[#This Row],[Rating (out of 5)]]&lt;4.5,"Average","Excellent")))</f>
        <v>Average</v>
      </c>
    </row>
    <row r="19" spans="1:12" x14ac:dyDescent="0.3">
      <c r="A19" t="s">
        <v>26</v>
      </c>
      <c r="B19" s="3">
        <v>38</v>
      </c>
      <c r="C19" s="3">
        <v>80</v>
      </c>
      <c r="D19" s="3">
        <f>Table1[[#This Row],[Old price]]-Table1[[#This Row],[Current price]]</f>
        <v>42</v>
      </c>
      <c r="E19" s="1">
        <v>0.53</v>
      </c>
      <c r="F19" s="1" t="str">
        <f>IF(Table1[[#This Row],[Discount]]&lt;20%,"Low Discount",IF(Table1[[#This Row],[Discount]]&lt;41%,"Medium Discount","High Discount"))</f>
        <v>High Discount</v>
      </c>
      <c r="G19" s="9">
        <v>13</v>
      </c>
      <c r="H19" s="11">
        <v>3.3</v>
      </c>
      <c r="I19" t="str">
        <f>IF(Table1[[#This Row],[Rating (out of 5)]]="No Rating","NA",IF(Table1[[#This Row],[Rating (out of 5)]]&lt;3,"Poor",IF(Table1[[#This Row],[Rating (out of 5)]]&lt;4.5,"Average","Excellent")))</f>
        <v>Average</v>
      </c>
    </row>
    <row r="20" spans="1:12" x14ac:dyDescent="0.3">
      <c r="A20" t="s">
        <v>27</v>
      </c>
      <c r="B20" s="3">
        <v>1600</v>
      </c>
      <c r="C20" s="3">
        <v>2929</v>
      </c>
      <c r="D20" s="3">
        <f>Table1[[#This Row],[Old price]]-Table1[[#This Row],[Current price]]</f>
        <v>1329</v>
      </c>
      <c r="E20" s="1">
        <v>0.45</v>
      </c>
      <c r="F20" s="1" t="str">
        <f>IF(Table1[[#This Row],[Discount]]&lt;20%,"Low Discount",IF(Table1[[#This Row],[Discount]]&lt;41%,"Medium Discount","High Discount"))</f>
        <v>High Discount</v>
      </c>
      <c r="G20" s="9">
        <v>5</v>
      </c>
      <c r="H20" s="11">
        <v>3.8</v>
      </c>
      <c r="I20" t="str">
        <f>IF(Table1[[#This Row],[Rating (out of 5)]]="No Rating","NA",IF(Table1[[#This Row],[Rating (out of 5)]]&lt;3,"Poor",IF(Table1[[#This Row],[Rating (out of 5)]]&lt;4.5,"Average","Excellent")))</f>
        <v>Average</v>
      </c>
    </row>
    <row r="21" spans="1:12" x14ac:dyDescent="0.3">
      <c r="A21" t="s">
        <v>28</v>
      </c>
      <c r="B21" s="3">
        <v>1350</v>
      </c>
      <c r="C21" s="3">
        <v>1990</v>
      </c>
      <c r="D21" s="3">
        <f>Table1[[#This Row],[Old price]]-Table1[[#This Row],[Current price]]</f>
        <v>640</v>
      </c>
      <c r="E21" s="1">
        <v>0.32</v>
      </c>
      <c r="F21" s="1" t="str">
        <f>IF(Table1[[#This Row],[Discount]]&lt;20%,"Low Discount",IF(Table1[[#This Row],[Discount]]&lt;41%,"Medium Discount","High Discount"))</f>
        <v>Medium Discount</v>
      </c>
      <c r="G21" s="9">
        <v>13</v>
      </c>
      <c r="H21" s="11">
        <v>3.8</v>
      </c>
      <c r="I21" t="str">
        <f>IF(Table1[[#This Row],[Rating (out of 5)]]="No Rating","NA",IF(Table1[[#This Row],[Rating (out of 5)]]&lt;3,"Poor",IF(Table1[[#This Row],[Rating (out of 5)]]&lt;4.5,"Average","Excellent")))</f>
        <v>Average</v>
      </c>
    </row>
    <row r="22" spans="1:12" x14ac:dyDescent="0.3">
      <c r="A22" t="s">
        <v>29</v>
      </c>
      <c r="B22" s="3">
        <v>2880</v>
      </c>
      <c r="C22" s="3">
        <v>3520</v>
      </c>
      <c r="D22" s="3">
        <f>Table1[[#This Row],[Old price]]-Table1[[#This Row],[Current price]]</f>
        <v>640</v>
      </c>
      <c r="E22" s="1">
        <v>0.18</v>
      </c>
      <c r="F22" s="1" t="str">
        <f>IF(Table1[[#This Row],[Discount]]&lt;20%,"Low Discount",IF(Table1[[#This Row],[Discount]]&lt;41%,"Medium Discount","High Discount"))</f>
        <v>Low Discount</v>
      </c>
      <c r="G22" s="9">
        <v>12</v>
      </c>
      <c r="H22" s="11">
        <v>3.8</v>
      </c>
      <c r="I22" t="str">
        <f>IF(Table1[[#This Row],[Rating (out of 5)]]="No Rating","NA",IF(Table1[[#This Row],[Rating (out of 5)]]&lt;3,"Poor",IF(Table1[[#This Row],[Rating (out of 5)]]&lt;4.5,"Average","Excellent")))</f>
        <v>Average</v>
      </c>
    </row>
    <row r="23" spans="1:12" x14ac:dyDescent="0.3">
      <c r="A23" t="s">
        <v>30</v>
      </c>
      <c r="B23" s="3">
        <v>330</v>
      </c>
      <c r="C23" s="3">
        <v>647</v>
      </c>
      <c r="D23" s="3">
        <f>Table1[[#This Row],[Old price]]-Table1[[#This Row],[Current price]]</f>
        <v>317</v>
      </c>
      <c r="E23" s="1">
        <v>0.49</v>
      </c>
      <c r="F23" s="1" t="str">
        <f>IF(Table1[[#This Row],[Discount]]&lt;20%,"Low Discount",IF(Table1[[#This Row],[Discount]]&lt;41%,"Medium Discount","High Discount"))</f>
        <v>High Discount</v>
      </c>
      <c r="G23" s="9">
        <v>1</v>
      </c>
      <c r="H23" s="11">
        <v>4</v>
      </c>
      <c r="I23" t="str">
        <f>IF(Table1[[#This Row],[Rating (out of 5)]]="No Rating","NA",IF(Table1[[#This Row],[Rating (out of 5)]]&lt;3,"Poor",IF(Table1[[#This Row],[Rating (out of 5)]]&lt;4.5,"Average","Excellent")))</f>
        <v>Average</v>
      </c>
    </row>
    <row r="24" spans="1:12" x14ac:dyDescent="0.3">
      <c r="A24" t="s">
        <v>31</v>
      </c>
      <c r="B24" s="3">
        <v>988</v>
      </c>
      <c r="C24" s="3">
        <v>1580</v>
      </c>
      <c r="D24" s="3">
        <f>Table1[[#This Row],[Old price]]-Table1[[#This Row],[Current price]]</f>
        <v>592</v>
      </c>
      <c r="E24" s="1">
        <v>0.37</v>
      </c>
      <c r="F24" s="1" t="str">
        <f>IF(Table1[[#This Row],[Discount]]&lt;20%,"Low Discount",IF(Table1[[#This Row],[Discount]]&lt;41%,"Medium Discount","High Discount"))</f>
        <v>Medium Discount</v>
      </c>
      <c r="G24" s="9">
        <v>2</v>
      </c>
      <c r="H24" s="11">
        <v>4</v>
      </c>
      <c r="I24" t="str">
        <f>IF(Table1[[#This Row],[Rating (out of 5)]]="No Rating","NA",IF(Table1[[#This Row],[Rating (out of 5)]]&lt;3,"Poor",IF(Table1[[#This Row],[Rating (out of 5)]]&lt;4.5,"Average","Excellent")))</f>
        <v>Average</v>
      </c>
      <c r="L24">
        <f>COUNTBLANK(Table1[Review])</f>
        <v>0</v>
      </c>
    </row>
    <row r="25" spans="1:12" x14ac:dyDescent="0.3">
      <c r="A25" t="s">
        <v>32</v>
      </c>
      <c r="B25" s="3">
        <v>880</v>
      </c>
      <c r="C25" s="3">
        <v>1350</v>
      </c>
      <c r="D25" s="3">
        <f>Table1[[#This Row],[Old price]]-Table1[[#This Row],[Current price]]</f>
        <v>470</v>
      </c>
      <c r="E25" s="1">
        <v>0.35</v>
      </c>
      <c r="F25" s="1" t="str">
        <f>IF(Table1[[#This Row],[Discount]]&lt;20%,"Low Discount",IF(Table1[[#This Row],[Discount]]&lt;41%,"Medium Discount","High Discount"))</f>
        <v>Medium Discount</v>
      </c>
      <c r="G25" s="9">
        <v>6</v>
      </c>
      <c r="H25" s="11">
        <v>4</v>
      </c>
      <c r="I25" t="str">
        <f>IF(Table1[[#This Row],[Rating (out of 5)]]="No Rating","NA",IF(Table1[[#This Row],[Rating (out of 5)]]&lt;3,"Poor",IF(Table1[[#This Row],[Rating (out of 5)]]&lt;4.5,"Average","Excellent")))</f>
        <v>Average</v>
      </c>
    </row>
    <row r="26" spans="1:12" x14ac:dyDescent="0.3">
      <c r="A26" t="s">
        <v>33</v>
      </c>
      <c r="B26" s="3">
        <v>2999</v>
      </c>
      <c r="C26" s="3">
        <v>3290</v>
      </c>
      <c r="D26" s="3">
        <f>Table1[[#This Row],[Old price]]-Table1[[#This Row],[Current price]]</f>
        <v>291</v>
      </c>
      <c r="E26" s="1">
        <v>0.09</v>
      </c>
      <c r="F26" s="1" t="str">
        <f>IF(Table1[[#This Row],[Discount]]&lt;20%,"Low Discount",IF(Table1[[#This Row],[Discount]]&lt;41%,"Medium Discount","High Discount"))</f>
        <v>Low Discount</v>
      </c>
      <c r="G26" s="9">
        <v>15</v>
      </c>
      <c r="H26" s="11">
        <v>4</v>
      </c>
      <c r="I26" t="str">
        <f>IF(Table1[[#This Row],[Rating (out of 5)]]="No Rating","NA",IF(Table1[[#This Row],[Rating (out of 5)]]&lt;3,"Poor",IF(Table1[[#This Row],[Rating (out of 5)]]&lt;4.5,"Average","Excellent")))</f>
        <v>Average</v>
      </c>
    </row>
    <row r="27" spans="1:12" x14ac:dyDescent="0.3">
      <c r="A27" t="s">
        <v>34</v>
      </c>
      <c r="B27" s="3">
        <v>527</v>
      </c>
      <c r="C27" s="3">
        <v>999</v>
      </c>
      <c r="D27" s="3">
        <f>Table1[[#This Row],[Old price]]-Table1[[#This Row],[Current price]]</f>
        <v>472</v>
      </c>
      <c r="E27" s="1">
        <v>0.47</v>
      </c>
      <c r="F27" s="1" t="str">
        <f>IF(Table1[[#This Row],[Discount]]&lt;20%,"Low Discount",IF(Table1[[#This Row],[Discount]]&lt;41%,"Medium Discount","High Discount"))</f>
        <v>High Discount</v>
      </c>
      <c r="G27" s="9">
        <v>14</v>
      </c>
      <c r="H27" s="11">
        <v>4.0999999999999996</v>
      </c>
      <c r="I27" t="str">
        <f>IF(Table1[[#This Row],[Rating (out of 5)]]="No Rating","NA",IF(Table1[[#This Row],[Rating (out of 5)]]&lt;3,"Poor",IF(Table1[[#This Row],[Rating (out of 5)]]&lt;4.5,"Average","Excellent")))</f>
        <v>Average</v>
      </c>
    </row>
    <row r="28" spans="1:12" x14ac:dyDescent="0.3">
      <c r="A28" t="s">
        <v>35</v>
      </c>
      <c r="B28" s="3">
        <v>1758</v>
      </c>
      <c r="C28" s="3">
        <v>2499</v>
      </c>
      <c r="D28" s="3">
        <f>Table1[[#This Row],[Old price]]-Table1[[#This Row],[Current price]]</f>
        <v>741</v>
      </c>
      <c r="E28" s="1">
        <v>0.3</v>
      </c>
      <c r="F28" s="1" t="str">
        <f>IF(Table1[[#This Row],[Discount]]&lt;20%,"Low Discount",IF(Table1[[#This Row],[Discount]]&lt;41%,"Medium Discount","High Discount"))</f>
        <v>Medium Discount</v>
      </c>
      <c r="G28" s="9">
        <v>20</v>
      </c>
      <c r="H28" s="11">
        <v>4.0999999999999996</v>
      </c>
      <c r="I28" t="str">
        <f>IF(Table1[[#This Row],[Rating (out of 5)]]="No Rating","NA",IF(Table1[[#This Row],[Rating (out of 5)]]&lt;3,"Poor",IF(Table1[[#This Row],[Rating (out of 5)]]&lt;4.5,"Average","Excellent")))</f>
        <v>Average</v>
      </c>
    </row>
    <row r="29" spans="1:12" x14ac:dyDescent="0.3">
      <c r="A29" t="s">
        <v>36</v>
      </c>
      <c r="B29" s="3">
        <v>799</v>
      </c>
      <c r="C29" s="3">
        <v>999</v>
      </c>
      <c r="D29" s="3">
        <f>Table1[[#This Row],[Old price]]-Table1[[#This Row],[Current price]]</f>
        <v>200</v>
      </c>
      <c r="E29" s="1">
        <v>0.2</v>
      </c>
      <c r="F29" s="1" t="str">
        <f>IF(Table1[[#This Row],[Discount]]&lt;20%,"Low Discount",IF(Table1[[#This Row],[Discount]]&lt;41%,"Medium Discount","High Discount"))</f>
        <v>Medium Discount</v>
      </c>
      <c r="G29" s="9">
        <v>12</v>
      </c>
      <c r="H29" s="11">
        <v>4.0999999999999996</v>
      </c>
      <c r="I29" t="str">
        <f>IF(Table1[[#This Row],[Rating (out of 5)]]="No Rating","NA",IF(Table1[[#This Row],[Rating (out of 5)]]&lt;3,"Poor",IF(Table1[[#This Row],[Rating (out of 5)]]&lt;4.5,"Average","Excellent")))</f>
        <v>Average</v>
      </c>
    </row>
    <row r="30" spans="1:12" x14ac:dyDescent="0.3">
      <c r="A30" t="s">
        <v>37</v>
      </c>
      <c r="B30" s="3">
        <v>1680</v>
      </c>
      <c r="C30" s="3">
        <v>2499</v>
      </c>
      <c r="D30" s="3">
        <f>Table1[[#This Row],[Old price]]-Table1[[#This Row],[Current price]]</f>
        <v>819</v>
      </c>
      <c r="E30" s="1">
        <v>0.33</v>
      </c>
      <c r="F30" s="1" t="str">
        <f>IF(Table1[[#This Row],[Discount]]&lt;20%,"Low Discount",IF(Table1[[#This Row],[Discount]]&lt;41%,"Medium Discount","High Discount"))</f>
        <v>Medium Discount</v>
      </c>
      <c r="G30" s="9">
        <v>9</v>
      </c>
      <c r="H30" s="11">
        <v>4.2</v>
      </c>
      <c r="I30" t="str">
        <f>IF(Table1[[#This Row],[Rating (out of 5)]]="No Rating","NA",IF(Table1[[#This Row],[Rating (out of 5)]]&lt;3,"Poor",IF(Table1[[#This Row],[Rating (out of 5)]]&lt;4.5,"Average","Excellent")))</f>
        <v>Average</v>
      </c>
    </row>
    <row r="31" spans="1:12" x14ac:dyDescent="0.3">
      <c r="A31" t="s">
        <v>38</v>
      </c>
      <c r="B31" s="3">
        <v>2048</v>
      </c>
      <c r="C31" s="3">
        <v>4500</v>
      </c>
      <c r="D31" s="3">
        <f>Table1[[#This Row],[Old price]]-Table1[[#This Row],[Current price]]</f>
        <v>2452</v>
      </c>
      <c r="E31" s="1">
        <v>0.54</v>
      </c>
      <c r="F31" s="1" t="str">
        <f>IF(Table1[[#This Row],[Discount]]&lt;20%,"Low Discount",IF(Table1[[#This Row],[Discount]]&lt;41%,"Medium Discount","High Discount"))</f>
        <v>High Discount</v>
      </c>
      <c r="G31" s="9">
        <v>7</v>
      </c>
      <c r="H31" s="11">
        <v>4.3</v>
      </c>
      <c r="I31" t="str">
        <f>IF(Table1[[#This Row],[Rating (out of 5)]]="No Rating","NA",IF(Table1[[#This Row],[Rating (out of 5)]]&lt;3,"Poor",IF(Table1[[#This Row],[Rating (out of 5)]]&lt;4.5,"Average","Excellent")))</f>
        <v>Average</v>
      </c>
    </row>
    <row r="32" spans="1:12" x14ac:dyDescent="0.3">
      <c r="A32" t="s">
        <v>39</v>
      </c>
      <c r="B32" s="3">
        <v>185</v>
      </c>
      <c r="C32" s="3">
        <v>382</v>
      </c>
      <c r="D32" s="3">
        <f>Table1[[#This Row],[Old price]]-Table1[[#This Row],[Current price]]</f>
        <v>197</v>
      </c>
      <c r="E32" s="1">
        <v>0.52</v>
      </c>
      <c r="F32" s="1" t="str">
        <f>IF(Table1[[#This Row],[Discount]]&lt;20%,"Low Discount",IF(Table1[[#This Row],[Discount]]&lt;41%,"Medium Discount","High Discount"))</f>
        <v>High Discount</v>
      </c>
      <c r="G32" s="9">
        <v>9</v>
      </c>
      <c r="H32" s="11">
        <v>4.3</v>
      </c>
      <c r="I32" t="str">
        <f>IF(Table1[[#This Row],[Rating (out of 5)]]="No Rating","NA",IF(Table1[[#This Row],[Rating (out of 5)]]&lt;3,"Poor",IF(Table1[[#This Row],[Rating (out of 5)]]&lt;4.5,"Average","Excellent")))</f>
        <v>Average</v>
      </c>
    </row>
    <row r="33" spans="1:9" x14ac:dyDescent="0.3">
      <c r="A33" t="s">
        <v>40</v>
      </c>
      <c r="B33" s="3">
        <v>1820</v>
      </c>
      <c r="C33" s="3">
        <v>3490</v>
      </c>
      <c r="D33" s="3">
        <f>Table1[[#This Row],[Old price]]-Table1[[#This Row],[Current price]]</f>
        <v>1670</v>
      </c>
      <c r="E33" s="1">
        <v>0.48</v>
      </c>
      <c r="F33" s="1" t="str">
        <f>IF(Table1[[#This Row],[Discount]]&lt;20%,"Low Discount",IF(Table1[[#This Row],[Discount]]&lt;41%,"Medium Discount","High Discount"))</f>
        <v>High Discount</v>
      </c>
      <c r="G33" s="9">
        <v>9</v>
      </c>
      <c r="H33" s="11">
        <v>4.3</v>
      </c>
      <c r="I33" t="str">
        <f>IF(Table1[[#This Row],[Rating (out of 5)]]="No Rating","NA",IF(Table1[[#This Row],[Rating (out of 5)]]&lt;3,"Poor",IF(Table1[[#This Row],[Rating (out of 5)]]&lt;4.5,"Average","Excellent")))</f>
        <v>Average</v>
      </c>
    </row>
    <row r="34" spans="1:9" x14ac:dyDescent="0.3">
      <c r="A34" t="s">
        <v>41</v>
      </c>
      <c r="B34" s="3">
        <v>389</v>
      </c>
      <c r="C34" s="3">
        <v>656</v>
      </c>
      <c r="D34" s="3">
        <f>Table1[[#This Row],[Old price]]-Table1[[#This Row],[Current price]]</f>
        <v>267</v>
      </c>
      <c r="E34" s="1">
        <v>0.41</v>
      </c>
      <c r="F34" s="1" t="str">
        <f>IF(Table1[[#This Row],[Discount]]&lt;20%,"Low Discount",IF(Table1[[#This Row],[Discount]]&lt;41%,"Medium Discount","High Discount"))</f>
        <v>High Discount</v>
      </c>
      <c r="G34" s="9">
        <v>36</v>
      </c>
      <c r="H34" s="11">
        <v>4.3</v>
      </c>
      <c r="I34" t="str">
        <f>IF(Table1[[#This Row],[Rating (out of 5)]]="No Rating","NA",IF(Table1[[#This Row],[Rating (out of 5)]]&lt;3,"Poor",IF(Table1[[#This Row],[Rating (out of 5)]]&lt;4.5,"Average","Excellent")))</f>
        <v>Average</v>
      </c>
    </row>
    <row r="35" spans="1:9" x14ac:dyDescent="0.3">
      <c r="A35" t="s">
        <v>42</v>
      </c>
      <c r="B35" s="3">
        <v>1650</v>
      </c>
      <c r="C35" s="3">
        <v>2150</v>
      </c>
      <c r="D35" s="3">
        <f>Table1[[#This Row],[Old price]]-Table1[[#This Row],[Current price]]</f>
        <v>500</v>
      </c>
      <c r="E35" s="1">
        <v>0.23</v>
      </c>
      <c r="F35" s="1" t="str">
        <f>IF(Table1[[#This Row],[Discount]]&lt;20%,"Low Discount",IF(Table1[[#This Row],[Discount]]&lt;41%,"Medium Discount","High Discount"))</f>
        <v>Medium Discount</v>
      </c>
      <c r="G35" s="9">
        <v>14</v>
      </c>
      <c r="H35" s="11">
        <v>4.4000000000000004</v>
      </c>
      <c r="I35" t="str">
        <f>IF(Table1[[#This Row],[Rating (out of 5)]]="No Rating","NA",IF(Table1[[#This Row],[Rating (out of 5)]]&lt;3,"Poor",IF(Table1[[#This Row],[Rating (out of 5)]]&lt;4.5,"Average","Excellent")))</f>
        <v>Average</v>
      </c>
    </row>
    <row r="36" spans="1:9" x14ac:dyDescent="0.3">
      <c r="A36" t="s">
        <v>43</v>
      </c>
      <c r="B36" s="3">
        <v>501</v>
      </c>
      <c r="C36" s="3">
        <v>860</v>
      </c>
      <c r="D36" s="3">
        <f>Table1[[#This Row],[Old price]]-Table1[[#This Row],[Current price]]</f>
        <v>359</v>
      </c>
      <c r="E36" s="1">
        <v>0.42</v>
      </c>
      <c r="F36" s="1" t="str">
        <f>IF(Table1[[#This Row],[Discount]]&lt;20%,"Low Discount",IF(Table1[[#This Row],[Discount]]&lt;41%,"Medium Discount","High Discount"))</f>
        <v>High Discount</v>
      </c>
      <c r="G36" s="9">
        <v>6</v>
      </c>
      <c r="H36" s="11">
        <v>4.5</v>
      </c>
      <c r="I36" t="str">
        <f>IF(Table1[[#This Row],[Rating (out of 5)]]="No Rating","NA",IF(Table1[[#This Row],[Rating (out of 5)]]&lt;3,"Poor",IF(Table1[[#This Row],[Rating (out of 5)]]&lt;4.5,"Average","Excellent")))</f>
        <v>Excellent</v>
      </c>
    </row>
    <row r="37" spans="1:9" x14ac:dyDescent="0.3">
      <c r="A37" t="s">
        <v>44</v>
      </c>
      <c r="B37" s="3">
        <v>1980</v>
      </c>
      <c r="C37" s="3">
        <v>3200</v>
      </c>
      <c r="D37" s="3">
        <f>Table1[[#This Row],[Old price]]-Table1[[#This Row],[Current price]]</f>
        <v>1220</v>
      </c>
      <c r="E37" s="1">
        <v>0.38</v>
      </c>
      <c r="F37" s="1" t="str">
        <f>IF(Table1[[#This Row],[Discount]]&lt;20%,"Low Discount",IF(Table1[[#This Row],[Discount]]&lt;41%,"Medium Discount","High Discount"))</f>
        <v>Medium Discount</v>
      </c>
      <c r="G37" s="9">
        <v>2</v>
      </c>
      <c r="H37" s="11">
        <v>4.5</v>
      </c>
      <c r="I37" t="str">
        <f>IF(Table1[[#This Row],[Rating (out of 5)]]="No Rating","NA",IF(Table1[[#This Row],[Rating (out of 5)]]&lt;3,"Poor",IF(Table1[[#This Row],[Rating (out of 5)]]&lt;4.5,"Average","Excellent")))</f>
        <v>Excellent</v>
      </c>
    </row>
    <row r="38" spans="1:9" x14ac:dyDescent="0.3">
      <c r="A38" t="s">
        <v>45</v>
      </c>
      <c r="B38" s="3">
        <v>950</v>
      </c>
      <c r="C38" s="3">
        <v>1525</v>
      </c>
      <c r="D38" s="3">
        <f>Table1[[#This Row],[Old price]]-Table1[[#This Row],[Current price]]</f>
        <v>575</v>
      </c>
      <c r="E38" s="1">
        <v>0.38</v>
      </c>
      <c r="F38" s="1" t="str">
        <f>IF(Table1[[#This Row],[Discount]]&lt;20%,"Low Discount",IF(Table1[[#This Row],[Discount]]&lt;41%,"Medium Discount","High Discount"))</f>
        <v>Medium Discount</v>
      </c>
      <c r="G38" s="9">
        <v>2</v>
      </c>
      <c r="H38" s="11">
        <v>4.5</v>
      </c>
      <c r="I38" t="str">
        <f>IF(Table1[[#This Row],[Rating (out of 5)]]="No Rating","NA",IF(Table1[[#This Row],[Rating (out of 5)]]&lt;3,"Poor",IF(Table1[[#This Row],[Rating (out of 5)]]&lt;4.5,"Average","Excellent")))</f>
        <v>Excellent</v>
      </c>
    </row>
    <row r="39" spans="1:9" x14ac:dyDescent="0.3">
      <c r="A39" t="s">
        <v>46</v>
      </c>
      <c r="B39" s="3">
        <v>1980</v>
      </c>
      <c r="C39" s="3">
        <v>2699</v>
      </c>
      <c r="D39" s="3">
        <f>Table1[[#This Row],[Old price]]-Table1[[#This Row],[Current price]]</f>
        <v>719</v>
      </c>
      <c r="E39" s="1">
        <v>0.27</v>
      </c>
      <c r="F39" s="1" t="str">
        <f>IF(Table1[[#This Row],[Discount]]&lt;20%,"Low Discount",IF(Table1[[#This Row],[Discount]]&lt;41%,"Medium Discount","High Discount"))</f>
        <v>Medium Discount</v>
      </c>
      <c r="G39" s="9">
        <v>32</v>
      </c>
      <c r="H39" s="11">
        <v>4.5</v>
      </c>
      <c r="I39" t="str">
        <f>IF(Table1[[#This Row],[Rating (out of 5)]]="No Rating","NA",IF(Table1[[#This Row],[Rating (out of 5)]]&lt;3,"Poor",IF(Table1[[#This Row],[Rating (out of 5)]]&lt;4.5,"Average","Excellent")))</f>
        <v>Excellent</v>
      </c>
    </row>
    <row r="40" spans="1:9" x14ac:dyDescent="0.3">
      <c r="A40" t="s">
        <v>47</v>
      </c>
      <c r="B40" s="3">
        <v>998</v>
      </c>
      <c r="C40" s="3">
        <v>1966</v>
      </c>
      <c r="D40" s="3">
        <f>Table1[[#This Row],[Old price]]-Table1[[#This Row],[Current price]]</f>
        <v>968</v>
      </c>
      <c r="E40" s="1">
        <v>0.49</v>
      </c>
      <c r="F40" s="1" t="str">
        <f>IF(Table1[[#This Row],[Discount]]&lt;20%,"Low Discount",IF(Table1[[#This Row],[Discount]]&lt;41%,"Medium Discount","High Discount"))</f>
        <v>High Discount</v>
      </c>
      <c r="G40" s="9">
        <v>44</v>
      </c>
      <c r="H40" s="11">
        <v>4.5999999999999996</v>
      </c>
      <c r="I40" t="str">
        <f>IF(Table1[[#This Row],[Rating (out of 5)]]="No Rating","NA",IF(Table1[[#This Row],[Rating (out of 5)]]&lt;3,"Poor",IF(Table1[[#This Row],[Rating (out of 5)]]&lt;4.5,"Average","Excellent")))</f>
        <v>Excellent</v>
      </c>
    </row>
    <row r="41" spans="1:9" x14ac:dyDescent="0.3">
      <c r="A41" t="s">
        <v>48</v>
      </c>
      <c r="B41" s="3">
        <v>420</v>
      </c>
      <c r="C41" s="3">
        <v>647</v>
      </c>
      <c r="D41" s="3">
        <f>Table1[[#This Row],[Old price]]-Table1[[#This Row],[Current price]]</f>
        <v>227</v>
      </c>
      <c r="E41" s="1">
        <v>0.35</v>
      </c>
      <c r="F41" s="1" t="str">
        <f>IF(Table1[[#This Row],[Discount]]&lt;20%,"Low Discount",IF(Table1[[#This Row],[Discount]]&lt;41%,"Medium Discount","High Discount"))</f>
        <v>Medium Discount</v>
      </c>
      <c r="G41" s="9">
        <v>49</v>
      </c>
      <c r="H41" s="11">
        <v>4.5999999999999996</v>
      </c>
      <c r="I41" t="str">
        <f>IF(Table1[[#This Row],[Rating (out of 5)]]="No Rating","NA",IF(Table1[[#This Row],[Rating (out of 5)]]&lt;3,"Poor",IF(Table1[[#This Row],[Rating (out of 5)]]&lt;4.5,"Average","Excellent")))</f>
        <v>Excellent</v>
      </c>
    </row>
    <row r="42" spans="1:9" x14ac:dyDescent="0.3">
      <c r="A42" t="s">
        <v>49</v>
      </c>
      <c r="B42" s="3">
        <v>2199</v>
      </c>
      <c r="C42" s="3">
        <v>2923</v>
      </c>
      <c r="D42" s="3">
        <f>Table1[[#This Row],[Old price]]-Table1[[#This Row],[Current price]]</f>
        <v>724</v>
      </c>
      <c r="E42" s="1">
        <v>0.25</v>
      </c>
      <c r="F42" s="1" t="str">
        <f>IF(Table1[[#This Row],[Discount]]&lt;20%,"Low Discount",IF(Table1[[#This Row],[Discount]]&lt;41%,"Medium Discount","High Discount"))</f>
        <v>Medium Discount</v>
      </c>
      <c r="G42" s="9">
        <v>24</v>
      </c>
      <c r="H42" s="11">
        <v>4.5999999999999996</v>
      </c>
      <c r="I42" t="str">
        <f>IF(Table1[[#This Row],[Rating (out of 5)]]="No Rating","NA",IF(Table1[[#This Row],[Rating (out of 5)]]&lt;3,"Poor",IF(Table1[[#This Row],[Rating (out of 5)]]&lt;4.5,"Average","Excellent")))</f>
        <v>Excellent</v>
      </c>
    </row>
    <row r="43" spans="1:9" x14ac:dyDescent="0.3">
      <c r="A43" t="s">
        <v>50</v>
      </c>
      <c r="B43" s="3">
        <v>2319</v>
      </c>
      <c r="C43" s="3">
        <v>3032</v>
      </c>
      <c r="D43" s="3">
        <f>Table1[[#This Row],[Old price]]-Table1[[#This Row],[Current price]]</f>
        <v>713</v>
      </c>
      <c r="E43" s="1">
        <v>0.24</v>
      </c>
      <c r="F43" s="1" t="str">
        <f>IF(Table1[[#This Row],[Discount]]&lt;20%,"Low Discount",IF(Table1[[#This Row],[Discount]]&lt;41%,"Medium Discount","High Discount"))</f>
        <v>Medium Discount</v>
      </c>
      <c r="G43" s="9">
        <v>55</v>
      </c>
      <c r="H43" s="11">
        <v>4.5999999999999996</v>
      </c>
      <c r="I43" t="str">
        <f>IF(Table1[[#This Row],[Rating (out of 5)]]="No Rating","NA",IF(Table1[[#This Row],[Rating (out of 5)]]&lt;3,"Poor",IF(Table1[[#This Row],[Rating (out of 5)]]&lt;4.5,"Average","Excellent")))</f>
        <v>Excellent</v>
      </c>
    </row>
    <row r="44" spans="1:9" x14ac:dyDescent="0.3">
      <c r="A44" t="s">
        <v>51</v>
      </c>
      <c r="B44" s="3">
        <v>2999</v>
      </c>
      <c r="C44" s="3">
        <v>3699</v>
      </c>
      <c r="D44" s="3">
        <f>Table1[[#This Row],[Old price]]-Table1[[#This Row],[Current price]]</f>
        <v>700</v>
      </c>
      <c r="E44" s="1">
        <v>0.19</v>
      </c>
      <c r="F44" s="1" t="str">
        <f>IF(Table1[[#This Row],[Discount]]&lt;20%,"Low Discount",IF(Table1[[#This Row],[Discount]]&lt;41%,"Medium Discount","High Discount"))</f>
        <v>Low Discount</v>
      </c>
      <c r="G44" s="9">
        <v>5</v>
      </c>
      <c r="H44" s="11">
        <v>4.5999999999999996</v>
      </c>
      <c r="I44" t="str">
        <f>IF(Table1[[#This Row],[Rating (out of 5)]]="No Rating","NA",IF(Table1[[#This Row],[Rating (out of 5)]]&lt;3,"Poor",IF(Table1[[#This Row],[Rating (out of 5)]]&lt;4.5,"Average","Excellent")))</f>
        <v>Excellent</v>
      </c>
    </row>
    <row r="45" spans="1:9" x14ac:dyDescent="0.3">
      <c r="A45" t="s">
        <v>52</v>
      </c>
      <c r="B45" s="3">
        <v>1580</v>
      </c>
      <c r="C45" s="3">
        <v>2499</v>
      </c>
      <c r="D45" s="3">
        <f>Table1[[#This Row],[Old price]]-Table1[[#This Row],[Current price]]</f>
        <v>919</v>
      </c>
      <c r="E45" s="1">
        <v>0.37</v>
      </c>
      <c r="F45" s="1" t="str">
        <f>IF(Table1[[#This Row],[Discount]]&lt;20%,"Low Discount",IF(Table1[[#This Row],[Discount]]&lt;41%,"Medium Discount","High Discount"))</f>
        <v>Medium Discount</v>
      </c>
      <c r="G45" s="9">
        <v>7</v>
      </c>
      <c r="H45" s="11">
        <v>4.7</v>
      </c>
      <c r="I45" t="str">
        <f>IF(Table1[[#This Row],[Rating (out of 5)]]="No Rating","NA",IF(Table1[[#This Row],[Rating (out of 5)]]&lt;3,"Poor",IF(Table1[[#This Row],[Rating (out of 5)]]&lt;4.5,"Average","Excellent")))</f>
        <v>Excellent</v>
      </c>
    </row>
    <row r="46" spans="1:9" x14ac:dyDescent="0.3">
      <c r="A46" t="s">
        <v>53</v>
      </c>
      <c r="B46" s="3">
        <v>990</v>
      </c>
      <c r="C46" s="3">
        <v>1500</v>
      </c>
      <c r="D46" s="3">
        <f>Table1[[#This Row],[Old price]]-Table1[[#This Row],[Current price]]</f>
        <v>510</v>
      </c>
      <c r="E46" s="1">
        <v>0.34</v>
      </c>
      <c r="F46" s="1" t="str">
        <f>IF(Table1[[#This Row],[Discount]]&lt;20%,"Low Discount",IF(Table1[[#This Row],[Discount]]&lt;41%,"Medium Discount","High Discount"))</f>
        <v>Medium Discount</v>
      </c>
      <c r="G46" s="9">
        <v>39</v>
      </c>
      <c r="H46" s="11">
        <v>4.7</v>
      </c>
      <c r="I46" t="str">
        <f>IF(Table1[[#This Row],[Rating (out of 5)]]="No Rating","NA",IF(Table1[[#This Row],[Rating (out of 5)]]&lt;3,"Poor",IF(Table1[[#This Row],[Rating (out of 5)]]&lt;4.5,"Average","Excellent")))</f>
        <v>Excellent</v>
      </c>
    </row>
    <row r="47" spans="1:9" x14ac:dyDescent="0.3">
      <c r="A47" t="s">
        <v>54</v>
      </c>
      <c r="B47" s="3">
        <v>980</v>
      </c>
      <c r="C47" s="3">
        <v>1490</v>
      </c>
      <c r="D47" s="3">
        <f>Table1[[#This Row],[Old price]]-Table1[[#This Row],[Current price]]</f>
        <v>510</v>
      </c>
      <c r="E47" s="1">
        <v>0.34</v>
      </c>
      <c r="F47" s="1" t="str">
        <f>IF(Table1[[#This Row],[Discount]]&lt;20%,"Low Discount",IF(Table1[[#This Row],[Discount]]&lt;41%,"Medium Discount","High Discount"))</f>
        <v>Medium Discount</v>
      </c>
      <c r="G47" s="9">
        <v>12</v>
      </c>
      <c r="H47" s="11">
        <v>4.7</v>
      </c>
      <c r="I47" t="str">
        <f>IF(Table1[[#This Row],[Rating (out of 5)]]="No Rating","NA",IF(Table1[[#This Row],[Rating (out of 5)]]&lt;3,"Poor",IF(Table1[[#This Row],[Rating (out of 5)]]&lt;4.5,"Average","Excellent")))</f>
        <v>Excellent</v>
      </c>
    </row>
    <row r="48" spans="1:9" x14ac:dyDescent="0.3">
      <c r="A48" t="s">
        <v>55</v>
      </c>
      <c r="B48" s="3">
        <v>1940</v>
      </c>
      <c r="C48" s="3">
        <v>2650</v>
      </c>
      <c r="D48" s="3">
        <f>Table1[[#This Row],[Old price]]-Table1[[#This Row],[Current price]]</f>
        <v>710</v>
      </c>
      <c r="E48" s="1">
        <v>0.27</v>
      </c>
      <c r="F48" s="1" t="str">
        <f>IF(Table1[[#This Row],[Discount]]&lt;20%,"Low Discount",IF(Table1[[#This Row],[Discount]]&lt;41%,"Medium Discount","High Discount"))</f>
        <v>Medium Discount</v>
      </c>
      <c r="G48" s="9">
        <v>20</v>
      </c>
      <c r="H48" s="11">
        <v>4.7</v>
      </c>
      <c r="I48" t="str">
        <f>IF(Table1[[#This Row],[Rating (out of 5)]]="No Rating","NA",IF(Table1[[#This Row],[Rating (out of 5)]]&lt;3,"Poor",IF(Table1[[#This Row],[Rating (out of 5)]]&lt;4.5,"Average","Excellent")))</f>
        <v>Excellent</v>
      </c>
    </row>
    <row r="49" spans="1:9" x14ac:dyDescent="0.3">
      <c r="A49" t="s">
        <v>56</v>
      </c>
      <c r="B49" s="3">
        <v>1274</v>
      </c>
      <c r="C49" s="3">
        <v>2800</v>
      </c>
      <c r="D49" s="3">
        <f>Table1[[#This Row],[Old price]]-Table1[[#This Row],[Current price]]</f>
        <v>1526</v>
      </c>
      <c r="E49" s="1">
        <v>0.55000000000000004</v>
      </c>
      <c r="F49" s="1" t="str">
        <f>IF(Table1[[#This Row],[Discount]]&lt;20%,"Low Discount",IF(Table1[[#This Row],[Discount]]&lt;41%,"Medium Discount","High Discount"))</f>
        <v>High Discount</v>
      </c>
      <c r="G49" s="9">
        <v>5</v>
      </c>
      <c r="H49" s="11">
        <v>4.8</v>
      </c>
      <c r="I49" t="str">
        <f>IF(Table1[[#This Row],[Rating (out of 5)]]="No Rating","NA",IF(Table1[[#This Row],[Rating (out of 5)]]&lt;3,"Poor",IF(Table1[[#This Row],[Rating (out of 5)]]&lt;4.5,"Average","Excellent")))</f>
        <v>Excellent</v>
      </c>
    </row>
    <row r="50" spans="1:9" x14ac:dyDescent="0.3">
      <c r="A50" t="s">
        <v>57</v>
      </c>
      <c r="B50" s="3">
        <v>552</v>
      </c>
      <c r="C50" s="3">
        <v>1035</v>
      </c>
      <c r="D50" s="3">
        <f>Table1[[#This Row],[Old price]]-Table1[[#This Row],[Current price]]</f>
        <v>483</v>
      </c>
      <c r="E50" s="1">
        <v>0.47</v>
      </c>
      <c r="F50" s="1" t="str">
        <f>IF(Table1[[#This Row],[Discount]]&lt;20%,"Low Discount",IF(Table1[[#This Row],[Discount]]&lt;41%,"Medium Discount","High Discount"))</f>
        <v>High Discount</v>
      </c>
      <c r="G50" s="9">
        <v>12</v>
      </c>
      <c r="H50" s="11">
        <v>4.8</v>
      </c>
      <c r="I50" t="str">
        <f>IF(Table1[[#This Row],[Rating (out of 5)]]="No Rating","NA",IF(Table1[[#This Row],[Rating (out of 5)]]&lt;3,"Poor",IF(Table1[[#This Row],[Rating (out of 5)]]&lt;4.5,"Average","Excellent")))</f>
        <v>Excellent</v>
      </c>
    </row>
    <row r="51" spans="1:9" x14ac:dyDescent="0.3">
      <c r="A51" t="s">
        <v>58</v>
      </c>
      <c r="B51" s="3">
        <v>1740</v>
      </c>
      <c r="C51" s="3">
        <v>2356</v>
      </c>
      <c r="D51" s="3">
        <f>Table1[[#This Row],[Old price]]-Table1[[#This Row],[Current price]]</f>
        <v>616</v>
      </c>
      <c r="E51" s="1">
        <v>0.26</v>
      </c>
      <c r="F51" s="1" t="str">
        <f>IF(Table1[[#This Row],[Discount]]&lt;20%,"Low Discount",IF(Table1[[#This Row],[Discount]]&lt;41%,"Medium Discount","High Discount"))</f>
        <v>Medium Discount</v>
      </c>
      <c r="G51" s="9">
        <v>5</v>
      </c>
      <c r="H51" s="11">
        <v>4.8</v>
      </c>
      <c r="I51" t="str">
        <f>IF(Table1[[#This Row],[Rating (out of 5)]]="No Rating","NA",IF(Table1[[#This Row],[Rating (out of 5)]]&lt;3,"Poor",IF(Table1[[#This Row],[Rating (out of 5)]]&lt;4.5,"Average","Excellent")))</f>
        <v>Excellent</v>
      </c>
    </row>
    <row r="52" spans="1:9" x14ac:dyDescent="0.3">
      <c r="A52" t="s">
        <v>59</v>
      </c>
      <c r="B52" s="3">
        <v>171</v>
      </c>
      <c r="C52" s="3">
        <v>360</v>
      </c>
      <c r="D52" s="3">
        <f>Table1[[#This Row],[Old price]]-Table1[[#This Row],[Current price]]</f>
        <v>189</v>
      </c>
      <c r="E52" s="1">
        <v>0.53</v>
      </c>
      <c r="F52" s="1" t="str">
        <f>IF(Table1[[#This Row],[Discount]]&lt;20%,"Low Discount",IF(Table1[[#This Row],[Discount]]&lt;41%,"Medium Discount","High Discount"))</f>
        <v>High Discount</v>
      </c>
      <c r="G52" s="9">
        <v>2</v>
      </c>
      <c r="H52" s="11">
        <v>5</v>
      </c>
      <c r="I52" t="str">
        <f>IF(Table1[[#This Row],[Rating (out of 5)]]="No Rating","NA",IF(Table1[[#This Row],[Rating (out of 5)]]&lt;3,"Poor",IF(Table1[[#This Row],[Rating (out of 5)]]&lt;4.5,"Average","Excellent")))</f>
        <v>Excellent</v>
      </c>
    </row>
    <row r="53" spans="1:9" x14ac:dyDescent="0.3">
      <c r="A53" t="s">
        <v>60</v>
      </c>
      <c r="B53" s="3">
        <v>332</v>
      </c>
      <c r="C53" s="3">
        <v>684</v>
      </c>
      <c r="D53" s="3">
        <f>Table1[[#This Row],[Old price]]-Table1[[#This Row],[Current price]]</f>
        <v>352</v>
      </c>
      <c r="E53" s="1">
        <v>0.51</v>
      </c>
      <c r="F53" s="1" t="str">
        <f>IF(Table1[[#This Row],[Discount]]&lt;20%,"Low Discount",IF(Table1[[#This Row],[Discount]]&lt;41%,"Medium Discount","High Discount"))</f>
        <v>High Discount</v>
      </c>
      <c r="G53" s="9">
        <v>2</v>
      </c>
      <c r="H53" s="11">
        <v>5</v>
      </c>
      <c r="I53" t="str">
        <f>IF(Table1[[#This Row],[Rating (out of 5)]]="No Rating","NA",IF(Table1[[#This Row],[Rating (out of 5)]]&lt;3,"Poor",IF(Table1[[#This Row],[Rating (out of 5)]]&lt;4.5,"Average","Excellent")))</f>
        <v>Excellent</v>
      </c>
    </row>
    <row r="54" spans="1:9" x14ac:dyDescent="0.3">
      <c r="A54" t="s">
        <v>61</v>
      </c>
      <c r="B54" s="3">
        <v>2025</v>
      </c>
      <c r="C54" s="3">
        <v>3971</v>
      </c>
      <c r="D54" s="3">
        <f>Table1[[#This Row],[Old price]]-Table1[[#This Row],[Current price]]</f>
        <v>1946</v>
      </c>
      <c r="E54" s="1">
        <v>0.49</v>
      </c>
      <c r="F54" s="1" t="str">
        <f>IF(Table1[[#This Row],[Discount]]&lt;20%,"Low Discount",IF(Table1[[#This Row],[Discount]]&lt;41%,"Medium Discount","High Discount"))</f>
        <v>High Discount</v>
      </c>
      <c r="G54" s="9">
        <v>3</v>
      </c>
      <c r="H54" s="11">
        <v>5</v>
      </c>
      <c r="I54" t="str">
        <f>IF(Table1[[#This Row],[Rating (out of 5)]]="No Rating","NA",IF(Table1[[#This Row],[Rating (out of 5)]]&lt;3,"Poor",IF(Table1[[#This Row],[Rating (out of 5)]]&lt;4.5,"Average","Excellent")))</f>
        <v>Excellent</v>
      </c>
    </row>
    <row r="55" spans="1:9" x14ac:dyDescent="0.3">
      <c r="A55" t="s">
        <v>62</v>
      </c>
      <c r="B55" s="3">
        <v>979</v>
      </c>
      <c r="C55" s="3">
        <v>1920</v>
      </c>
      <c r="D55" s="3">
        <f>Table1[[#This Row],[Old price]]-Table1[[#This Row],[Current price]]</f>
        <v>941</v>
      </c>
      <c r="E55" s="1">
        <v>0.49</v>
      </c>
      <c r="F55" s="1" t="str">
        <f>IF(Table1[[#This Row],[Discount]]&lt;20%,"Low Discount",IF(Table1[[#This Row],[Discount]]&lt;41%,"Medium Discount","High Discount"))</f>
        <v>High Discount</v>
      </c>
      <c r="G55" s="9">
        <v>1</v>
      </c>
      <c r="H55" s="11">
        <v>5</v>
      </c>
      <c r="I55" t="str">
        <f>IF(Table1[[#This Row],[Rating (out of 5)]]="No Rating","NA",IF(Table1[[#This Row],[Rating (out of 5)]]&lt;3,"Poor",IF(Table1[[#This Row],[Rating (out of 5)]]&lt;4.5,"Average","Excellent")))</f>
        <v>Excellent</v>
      </c>
    </row>
    <row r="56" spans="1:9" x14ac:dyDescent="0.3">
      <c r="A56" t="s">
        <v>63</v>
      </c>
      <c r="B56" s="3">
        <v>195</v>
      </c>
      <c r="C56" s="3">
        <v>360</v>
      </c>
      <c r="D56" s="3">
        <f>Table1[[#This Row],[Old price]]-Table1[[#This Row],[Current price]]</f>
        <v>165</v>
      </c>
      <c r="E56" s="1">
        <v>0.46</v>
      </c>
      <c r="F56" s="1" t="str">
        <f>IF(Table1[[#This Row],[Discount]]&lt;20%,"Low Discount",IF(Table1[[#This Row],[Discount]]&lt;41%,"Medium Discount","High Discount"))</f>
        <v>High Discount</v>
      </c>
      <c r="G56" s="9">
        <v>2</v>
      </c>
      <c r="H56" s="11">
        <v>5</v>
      </c>
      <c r="I56" t="str">
        <f>IF(Table1[[#This Row],[Rating (out of 5)]]="No Rating","NA",IF(Table1[[#This Row],[Rating (out of 5)]]&lt;3,"Poor",IF(Table1[[#This Row],[Rating (out of 5)]]&lt;4.5,"Average","Excellent")))</f>
        <v>Excellent</v>
      </c>
    </row>
    <row r="57" spans="1:9" x14ac:dyDescent="0.3">
      <c r="A57" t="s">
        <v>64</v>
      </c>
      <c r="B57" s="3">
        <v>1620</v>
      </c>
      <c r="C57" s="3">
        <v>2690</v>
      </c>
      <c r="D57" s="3">
        <f>Table1[[#This Row],[Old price]]-Table1[[#This Row],[Current price]]</f>
        <v>1070</v>
      </c>
      <c r="E57" s="1">
        <v>0.4</v>
      </c>
      <c r="F57" s="1" t="str">
        <f>IF(Table1[[#This Row],[Discount]]&lt;20%,"Low Discount",IF(Table1[[#This Row],[Discount]]&lt;41%,"Medium Discount","High Discount"))</f>
        <v>Medium Discount</v>
      </c>
      <c r="G57" s="9">
        <v>1</v>
      </c>
      <c r="H57" s="11">
        <v>5</v>
      </c>
      <c r="I57" t="str">
        <f>IF(Table1[[#This Row],[Rating (out of 5)]]="No Rating","NA",IF(Table1[[#This Row],[Rating (out of 5)]]&lt;3,"Poor",IF(Table1[[#This Row],[Rating (out of 5)]]&lt;4.5,"Average","Excellent")))</f>
        <v>Excellent</v>
      </c>
    </row>
    <row r="58" spans="1:9" x14ac:dyDescent="0.3">
      <c r="A58" t="s">
        <v>65</v>
      </c>
      <c r="B58" s="3">
        <v>3640</v>
      </c>
      <c r="C58" s="3">
        <v>4588</v>
      </c>
      <c r="D58" s="3">
        <f>Table1[[#This Row],[Old price]]-Table1[[#This Row],[Current price]]</f>
        <v>948</v>
      </c>
      <c r="E58" s="1">
        <v>0.21</v>
      </c>
      <c r="F58" s="1" t="str">
        <f>IF(Table1[[#This Row],[Discount]]&lt;20%,"Low Discount",IF(Table1[[#This Row],[Discount]]&lt;41%,"Medium Discount","High Discount"))</f>
        <v>Medium Discount</v>
      </c>
      <c r="G58" s="9">
        <v>1</v>
      </c>
      <c r="H58" s="11">
        <v>5</v>
      </c>
      <c r="I58" t="str">
        <f>IF(Table1[[#This Row],[Rating (out of 5)]]="No Rating","NA",IF(Table1[[#This Row],[Rating (out of 5)]]&lt;3,"Poor",IF(Table1[[#This Row],[Rating (out of 5)]]&lt;4.5,"Average","Excellent")))</f>
        <v>Excellent</v>
      </c>
    </row>
    <row r="59" spans="1:9" x14ac:dyDescent="0.3">
      <c r="A59" t="s">
        <v>66</v>
      </c>
      <c r="B59" s="3">
        <v>199</v>
      </c>
      <c r="C59" s="3">
        <v>553</v>
      </c>
      <c r="D59" s="3">
        <f>Table1[[#This Row],[Old price]]-Table1[[#This Row],[Current price]]</f>
        <v>354</v>
      </c>
      <c r="E59" s="1">
        <v>0.64</v>
      </c>
      <c r="F59" s="1" t="str">
        <f>IF(Table1[[#This Row],[Discount]]&lt;20%,"Low Discount",IF(Table1[[#This Row],[Discount]]&lt;41%,"Medium Discount","High Discount"))</f>
        <v>High Discount</v>
      </c>
      <c r="G59" s="9" t="s">
        <v>67</v>
      </c>
      <c r="H59" s="11" t="s">
        <v>68</v>
      </c>
      <c r="I59" t="str">
        <f>IF(Table1[[#This Row],[Rating (out of 5)]]="No Rating","NA",IF(Table1[[#This Row],[Rating (out of 5)]]&lt;3,"Poor",IF(Table1[[#This Row],[Rating (out of 5)]]&lt;4.5,"Average","Excellent")))</f>
        <v>NA</v>
      </c>
    </row>
    <row r="60" spans="1:9" x14ac:dyDescent="0.3">
      <c r="A60" t="s">
        <v>69</v>
      </c>
      <c r="B60" s="3">
        <v>199</v>
      </c>
      <c r="C60" s="3">
        <v>504</v>
      </c>
      <c r="D60" s="3">
        <f>Table1[[#This Row],[Old price]]-Table1[[#This Row],[Current price]]</f>
        <v>305</v>
      </c>
      <c r="E60" s="1">
        <v>0.61</v>
      </c>
      <c r="F60" s="1" t="str">
        <f>IF(Table1[[#This Row],[Discount]]&lt;20%,"Low Discount",IF(Table1[[#This Row],[Discount]]&lt;41%,"Medium Discount","High Discount"))</f>
        <v>High Discount</v>
      </c>
      <c r="G60" s="9" t="s">
        <v>67</v>
      </c>
      <c r="H60" s="11" t="s">
        <v>68</v>
      </c>
      <c r="I60" t="str">
        <f>IF(Table1[[#This Row],[Rating (out of 5)]]="No Rating","NA",IF(Table1[[#This Row],[Rating (out of 5)]]&lt;3,"Poor",IF(Table1[[#This Row],[Rating (out of 5)]]&lt;4.5,"Average","Excellent")))</f>
        <v>NA</v>
      </c>
    </row>
    <row r="61" spans="1:9" x14ac:dyDescent="0.3">
      <c r="A61" t="s">
        <v>70</v>
      </c>
      <c r="B61" s="3">
        <v>1200</v>
      </c>
      <c r="C61" s="3">
        <v>2400</v>
      </c>
      <c r="D61" s="3">
        <f>Table1[[#This Row],[Old price]]-Table1[[#This Row],[Current price]]</f>
        <v>1200</v>
      </c>
      <c r="E61" s="1">
        <v>0.5</v>
      </c>
      <c r="F61" s="1" t="str">
        <f>IF(Table1[[#This Row],[Discount]]&lt;20%,"Low Discount",IF(Table1[[#This Row],[Discount]]&lt;41%,"Medium Discount","High Discount"))</f>
        <v>High Discount</v>
      </c>
      <c r="G61" s="9" t="s">
        <v>67</v>
      </c>
      <c r="H61" s="11" t="s">
        <v>68</v>
      </c>
      <c r="I61" t="str">
        <f>IF(Table1[[#This Row],[Rating (out of 5)]]="No Rating","NA",IF(Table1[[#This Row],[Rating (out of 5)]]&lt;3,"Poor",IF(Table1[[#This Row],[Rating (out of 5)]]&lt;4.5,"Average","Excellent")))</f>
        <v>NA</v>
      </c>
    </row>
    <row r="62" spans="1:9" x14ac:dyDescent="0.3">
      <c r="A62" t="s">
        <v>71</v>
      </c>
      <c r="B62" s="3">
        <v>999</v>
      </c>
      <c r="C62" s="3">
        <v>2000</v>
      </c>
      <c r="D62" s="3">
        <f>Table1[[#This Row],[Old price]]-Table1[[#This Row],[Current price]]</f>
        <v>1001</v>
      </c>
      <c r="E62" s="1">
        <v>0.5</v>
      </c>
      <c r="F62" s="1" t="str">
        <f>IF(Table1[[#This Row],[Discount]]&lt;20%,"Low Discount",IF(Table1[[#This Row],[Discount]]&lt;41%,"Medium Discount","High Discount"))</f>
        <v>High Discount</v>
      </c>
      <c r="G62" s="9" t="s">
        <v>67</v>
      </c>
      <c r="H62" s="11" t="s">
        <v>68</v>
      </c>
      <c r="I62" t="str">
        <f>IF(Table1[[#This Row],[Rating (out of 5)]]="No Rating","NA",IF(Table1[[#This Row],[Rating (out of 5)]]&lt;3,"Poor",IF(Table1[[#This Row],[Rating (out of 5)]]&lt;4.5,"Average","Excellent")))</f>
        <v>NA</v>
      </c>
    </row>
    <row r="63" spans="1:9" x14ac:dyDescent="0.3">
      <c r="A63" t="s">
        <v>72</v>
      </c>
      <c r="B63" s="3">
        <v>850</v>
      </c>
      <c r="C63" s="3">
        <v>1700</v>
      </c>
      <c r="D63" s="3">
        <f>Table1[[#This Row],[Old price]]-Table1[[#This Row],[Current price]]</f>
        <v>850</v>
      </c>
      <c r="E63" s="1">
        <v>0.5</v>
      </c>
      <c r="F63" s="1" t="str">
        <f>IF(Table1[[#This Row],[Discount]]&lt;20%,"Low Discount",IF(Table1[[#This Row],[Discount]]&lt;41%,"Medium Discount","High Discount"))</f>
        <v>High Discount</v>
      </c>
      <c r="G63" s="9" t="s">
        <v>67</v>
      </c>
      <c r="H63" s="11" t="s">
        <v>68</v>
      </c>
      <c r="I63" t="str">
        <f>IF(Table1[[#This Row],[Rating (out of 5)]]="No Rating","NA",IF(Table1[[#This Row],[Rating (out of 5)]]&lt;3,"Poor",IF(Table1[[#This Row],[Rating (out of 5)]]&lt;4.5,"Average","Excellent")))</f>
        <v>NA</v>
      </c>
    </row>
    <row r="64" spans="1:9" x14ac:dyDescent="0.3">
      <c r="A64" t="s">
        <v>73</v>
      </c>
      <c r="B64" s="3">
        <v>299</v>
      </c>
      <c r="C64" s="3">
        <v>600</v>
      </c>
      <c r="D64" s="3">
        <f>Table1[[#This Row],[Old price]]-Table1[[#This Row],[Current price]]</f>
        <v>301</v>
      </c>
      <c r="E64" s="1">
        <v>0.5</v>
      </c>
      <c r="F64" s="1" t="str">
        <f>IF(Table1[[#This Row],[Discount]]&lt;20%,"Low Discount",IF(Table1[[#This Row],[Discount]]&lt;41%,"Medium Discount","High Discount"))</f>
        <v>High Discount</v>
      </c>
      <c r="G64" s="9" t="s">
        <v>67</v>
      </c>
      <c r="H64" s="11" t="s">
        <v>68</v>
      </c>
      <c r="I64" t="str">
        <f>IF(Table1[[#This Row],[Rating (out of 5)]]="No Rating","NA",IF(Table1[[#This Row],[Rating (out of 5)]]&lt;3,"Poor",IF(Table1[[#This Row],[Rating (out of 5)]]&lt;4.5,"Average","Excellent")))</f>
        <v>NA</v>
      </c>
    </row>
    <row r="65" spans="1:9" x14ac:dyDescent="0.3">
      <c r="A65" t="s">
        <v>74</v>
      </c>
      <c r="B65" s="3">
        <v>238</v>
      </c>
      <c r="C65" s="3">
        <v>476</v>
      </c>
      <c r="D65" s="3">
        <f>Table1[[#This Row],[Old price]]-Table1[[#This Row],[Current price]]</f>
        <v>238</v>
      </c>
      <c r="E65" s="1">
        <v>0.5</v>
      </c>
      <c r="F65" s="1" t="str">
        <f>IF(Table1[[#This Row],[Discount]]&lt;20%,"Low Discount",IF(Table1[[#This Row],[Discount]]&lt;41%,"Medium Discount","High Discount"))</f>
        <v>High Discount</v>
      </c>
      <c r="G65" s="9" t="s">
        <v>67</v>
      </c>
      <c r="H65" s="11" t="s">
        <v>68</v>
      </c>
      <c r="I65" t="str">
        <f>IF(Table1[[#This Row],[Rating (out of 5)]]="No Rating","NA",IF(Table1[[#This Row],[Rating (out of 5)]]&lt;3,"Poor",IF(Table1[[#This Row],[Rating (out of 5)]]&lt;4.5,"Average","Excellent")))</f>
        <v>NA</v>
      </c>
    </row>
    <row r="66" spans="1:9" x14ac:dyDescent="0.3">
      <c r="A66" t="s">
        <v>75</v>
      </c>
      <c r="B66" s="3">
        <v>799</v>
      </c>
      <c r="C66" s="3">
        <v>1567</v>
      </c>
      <c r="D66" s="3">
        <f>Table1[[#This Row],[Old price]]-Table1[[#This Row],[Current price]]</f>
        <v>768</v>
      </c>
      <c r="E66" s="1">
        <v>0.49</v>
      </c>
      <c r="F66" s="1" t="str">
        <f>IF(Table1[[#This Row],[Discount]]&lt;20%,"Low Discount",IF(Table1[[#This Row],[Discount]]&lt;41%,"Medium Discount","High Discount"))</f>
        <v>High Discount</v>
      </c>
      <c r="G66" s="9" t="s">
        <v>67</v>
      </c>
      <c r="H66" s="11" t="s">
        <v>68</v>
      </c>
      <c r="I66" t="str">
        <f>IF(Table1[[#This Row],[Rating (out of 5)]]="No Rating","NA",IF(Table1[[#This Row],[Rating (out of 5)]]&lt;3,"Poor",IF(Table1[[#This Row],[Rating (out of 5)]]&lt;4.5,"Average","Excellent")))</f>
        <v>NA</v>
      </c>
    </row>
    <row r="67" spans="1:9" x14ac:dyDescent="0.3">
      <c r="A67" t="s">
        <v>76</v>
      </c>
      <c r="B67" s="3">
        <v>671</v>
      </c>
      <c r="C67" s="3">
        <v>1316</v>
      </c>
      <c r="D67" s="3">
        <f>Table1[[#This Row],[Old price]]-Table1[[#This Row],[Current price]]</f>
        <v>645</v>
      </c>
      <c r="E67" s="1">
        <v>0.49</v>
      </c>
      <c r="F67" s="1" t="str">
        <f>IF(Table1[[#This Row],[Discount]]&lt;20%,"Low Discount",IF(Table1[[#This Row],[Discount]]&lt;41%,"Medium Discount","High Discount"))</f>
        <v>High Discount</v>
      </c>
      <c r="G67" s="9" t="s">
        <v>67</v>
      </c>
      <c r="H67" s="11" t="s">
        <v>68</v>
      </c>
      <c r="I67" t="str">
        <f>IF(Table1[[#This Row],[Rating (out of 5)]]="No Rating","NA",IF(Table1[[#This Row],[Rating (out of 5)]]&lt;3,"Poor",IF(Table1[[#This Row],[Rating (out of 5)]]&lt;4.5,"Average","Excellent")))</f>
        <v>NA</v>
      </c>
    </row>
    <row r="68" spans="1:9" x14ac:dyDescent="0.3">
      <c r="A68" t="s">
        <v>77</v>
      </c>
      <c r="B68" s="3">
        <v>525</v>
      </c>
      <c r="C68" s="3">
        <v>1029</v>
      </c>
      <c r="D68" s="3">
        <f>Table1[[#This Row],[Old price]]-Table1[[#This Row],[Current price]]</f>
        <v>504</v>
      </c>
      <c r="E68" s="1">
        <v>0.49</v>
      </c>
      <c r="F68" s="1" t="str">
        <f>IF(Table1[[#This Row],[Discount]]&lt;20%,"Low Discount",IF(Table1[[#This Row],[Discount]]&lt;41%,"Medium Discount","High Discount"))</f>
        <v>High Discount</v>
      </c>
      <c r="G68" s="9" t="s">
        <v>67</v>
      </c>
      <c r="H68" s="11" t="s">
        <v>68</v>
      </c>
      <c r="I68" t="str">
        <f>IF(Table1[[#This Row],[Rating (out of 5)]]="No Rating","NA",IF(Table1[[#This Row],[Rating (out of 5)]]&lt;3,"Poor",IF(Table1[[#This Row],[Rating (out of 5)]]&lt;4.5,"Average","Excellent")))</f>
        <v>NA</v>
      </c>
    </row>
    <row r="69" spans="1:9" x14ac:dyDescent="0.3">
      <c r="A69" t="s">
        <v>78</v>
      </c>
      <c r="B69" s="3">
        <v>475</v>
      </c>
      <c r="C69" s="3">
        <v>931</v>
      </c>
      <c r="D69" s="3">
        <f>Table1[[#This Row],[Old price]]-Table1[[#This Row],[Current price]]</f>
        <v>456</v>
      </c>
      <c r="E69" s="1">
        <v>0.49</v>
      </c>
      <c r="F69" s="1" t="str">
        <f>IF(Table1[[#This Row],[Discount]]&lt;20%,"Low Discount",IF(Table1[[#This Row],[Discount]]&lt;41%,"Medium Discount","High Discount"))</f>
        <v>High Discount</v>
      </c>
      <c r="G69" s="9" t="s">
        <v>67</v>
      </c>
      <c r="H69" s="11" t="s">
        <v>68</v>
      </c>
      <c r="I69" t="str">
        <f>IF(Table1[[#This Row],[Rating (out of 5)]]="No Rating","NA",IF(Table1[[#This Row],[Rating (out of 5)]]&lt;3,"Poor",IF(Table1[[#This Row],[Rating (out of 5)]]&lt;4.5,"Average","Excellent")))</f>
        <v>NA</v>
      </c>
    </row>
    <row r="70" spans="1:9" x14ac:dyDescent="0.3">
      <c r="A70" t="s">
        <v>79</v>
      </c>
      <c r="B70" s="3">
        <v>274</v>
      </c>
      <c r="C70" s="3">
        <v>537</v>
      </c>
      <c r="D70" s="3">
        <f>Table1[[#This Row],[Old price]]-Table1[[#This Row],[Current price]]</f>
        <v>263</v>
      </c>
      <c r="E70" s="1">
        <v>0.49</v>
      </c>
      <c r="F70" s="1" t="str">
        <f>IF(Table1[[#This Row],[Discount]]&lt;20%,"Low Discount",IF(Table1[[#This Row],[Discount]]&lt;41%,"Medium Discount","High Discount"))</f>
        <v>High Discount</v>
      </c>
      <c r="G70" s="9" t="s">
        <v>67</v>
      </c>
      <c r="H70" s="11" t="s">
        <v>68</v>
      </c>
      <c r="I70" t="str">
        <f>IF(Table1[[#This Row],[Rating (out of 5)]]="No Rating","NA",IF(Table1[[#This Row],[Rating (out of 5)]]&lt;3,"Poor",IF(Table1[[#This Row],[Rating (out of 5)]]&lt;4.5,"Average","Excellent")))</f>
        <v>NA</v>
      </c>
    </row>
    <row r="71" spans="1:9" x14ac:dyDescent="0.3">
      <c r="A71" t="s">
        <v>80</v>
      </c>
      <c r="B71" s="3">
        <v>248</v>
      </c>
      <c r="C71" s="3">
        <v>486</v>
      </c>
      <c r="D71" s="3">
        <f>Table1[[#This Row],[Old price]]-Table1[[#This Row],[Current price]]</f>
        <v>238</v>
      </c>
      <c r="E71" s="1">
        <v>0.49</v>
      </c>
      <c r="F71" s="1" t="str">
        <f>IF(Table1[[#This Row],[Discount]]&lt;20%,"Low Discount",IF(Table1[[#This Row],[Discount]]&lt;41%,"Medium Discount","High Discount"))</f>
        <v>High Discount</v>
      </c>
      <c r="G71" s="9" t="s">
        <v>67</v>
      </c>
      <c r="H71" s="11" t="s">
        <v>68</v>
      </c>
      <c r="I71" t="str">
        <f>IF(Table1[[#This Row],[Rating (out of 5)]]="No Rating","NA",IF(Table1[[#This Row],[Rating (out of 5)]]&lt;3,"Poor",IF(Table1[[#This Row],[Rating (out of 5)]]&lt;4.5,"Average","Excellent")))</f>
        <v>NA</v>
      </c>
    </row>
    <row r="72" spans="1:9" x14ac:dyDescent="0.3">
      <c r="A72" t="s">
        <v>81</v>
      </c>
      <c r="B72" s="3">
        <v>230</v>
      </c>
      <c r="C72" s="3">
        <v>450</v>
      </c>
      <c r="D72" s="3">
        <f>Table1[[#This Row],[Old price]]-Table1[[#This Row],[Current price]]</f>
        <v>220</v>
      </c>
      <c r="E72" s="1">
        <v>0.49</v>
      </c>
      <c r="F72" s="1" t="str">
        <f>IF(Table1[[#This Row],[Discount]]&lt;20%,"Low Discount",IF(Table1[[#This Row],[Discount]]&lt;41%,"Medium Discount","High Discount"))</f>
        <v>High Discount</v>
      </c>
      <c r="G72" s="9" t="s">
        <v>67</v>
      </c>
      <c r="H72" s="11" t="s">
        <v>68</v>
      </c>
      <c r="I72" t="str">
        <f>IF(Table1[[#This Row],[Rating (out of 5)]]="No Rating","NA",IF(Table1[[#This Row],[Rating (out of 5)]]&lt;3,"Poor",IF(Table1[[#This Row],[Rating (out of 5)]]&lt;4.5,"Average","Excellent")))</f>
        <v>NA</v>
      </c>
    </row>
    <row r="73" spans="1:9" x14ac:dyDescent="0.3">
      <c r="A73" t="s">
        <v>82</v>
      </c>
      <c r="B73" s="3">
        <v>1300</v>
      </c>
      <c r="C73" s="3">
        <v>2500</v>
      </c>
      <c r="D73" s="3">
        <f>Table1[[#This Row],[Old price]]-Table1[[#This Row],[Current price]]</f>
        <v>1200</v>
      </c>
      <c r="E73" s="1">
        <v>0.48</v>
      </c>
      <c r="F73" s="1" t="str">
        <f>IF(Table1[[#This Row],[Discount]]&lt;20%,"Low Discount",IF(Table1[[#This Row],[Discount]]&lt;41%,"Medium Discount","High Discount"))</f>
        <v>High Discount</v>
      </c>
      <c r="G73" s="9" t="s">
        <v>67</v>
      </c>
      <c r="H73" s="11" t="s">
        <v>68</v>
      </c>
      <c r="I73" t="str">
        <f>IF(Table1[[#This Row],[Rating (out of 5)]]="No Rating","NA",IF(Table1[[#This Row],[Rating (out of 5)]]&lt;3,"Poor",IF(Table1[[#This Row],[Rating (out of 5)]]&lt;4.5,"Average","Excellent")))</f>
        <v>NA</v>
      </c>
    </row>
    <row r="74" spans="1:9" x14ac:dyDescent="0.3">
      <c r="A74" t="s">
        <v>83</v>
      </c>
      <c r="B74" s="3">
        <v>699</v>
      </c>
      <c r="C74" s="3">
        <v>1343</v>
      </c>
      <c r="D74" s="3">
        <f>Table1[[#This Row],[Old price]]-Table1[[#This Row],[Current price]]</f>
        <v>644</v>
      </c>
      <c r="E74" s="1">
        <v>0.48</v>
      </c>
      <c r="F74" s="1" t="str">
        <f>IF(Table1[[#This Row],[Discount]]&lt;20%,"Low Discount",IF(Table1[[#This Row],[Discount]]&lt;41%,"Medium Discount","High Discount"))</f>
        <v>High Discount</v>
      </c>
      <c r="G74" s="9" t="s">
        <v>67</v>
      </c>
      <c r="H74" s="11" t="s">
        <v>68</v>
      </c>
      <c r="I74" t="str">
        <f>IF(Table1[[#This Row],[Rating (out of 5)]]="No Rating","NA",IF(Table1[[#This Row],[Rating (out of 5)]]&lt;3,"Poor",IF(Table1[[#This Row],[Rating (out of 5)]]&lt;4.5,"Average","Excellent")))</f>
        <v>NA</v>
      </c>
    </row>
    <row r="75" spans="1:9" x14ac:dyDescent="0.3">
      <c r="A75" t="s">
        <v>84</v>
      </c>
      <c r="B75" s="3">
        <v>105</v>
      </c>
      <c r="C75" s="3">
        <v>200</v>
      </c>
      <c r="D75" s="3">
        <f>Table1[[#This Row],[Old price]]-Table1[[#This Row],[Current price]]</f>
        <v>95</v>
      </c>
      <c r="E75" s="1">
        <v>0.48</v>
      </c>
      <c r="F75" s="1" t="str">
        <f>IF(Table1[[#This Row],[Discount]]&lt;20%,"Low Discount",IF(Table1[[#This Row],[Discount]]&lt;41%,"Medium Discount","High Discount"))</f>
        <v>High Discount</v>
      </c>
      <c r="G75" s="9" t="s">
        <v>67</v>
      </c>
      <c r="H75" s="11" t="s">
        <v>68</v>
      </c>
      <c r="I75" t="str">
        <f>IF(Table1[[#This Row],[Rating (out of 5)]]="No Rating","NA",IF(Table1[[#This Row],[Rating (out of 5)]]&lt;3,"Poor",IF(Table1[[#This Row],[Rating (out of 5)]]&lt;4.5,"Average","Excellent")))</f>
        <v>NA</v>
      </c>
    </row>
    <row r="76" spans="1:9" x14ac:dyDescent="0.3">
      <c r="A76" t="s">
        <v>85</v>
      </c>
      <c r="B76" s="3">
        <v>899</v>
      </c>
      <c r="C76" s="3">
        <v>1699</v>
      </c>
      <c r="D76" s="3">
        <f>Table1[[#This Row],[Old price]]-Table1[[#This Row],[Current price]]</f>
        <v>800</v>
      </c>
      <c r="E76" s="1">
        <v>0.47</v>
      </c>
      <c r="F76" s="1" t="str">
        <f>IF(Table1[[#This Row],[Discount]]&lt;20%,"Low Discount",IF(Table1[[#This Row],[Discount]]&lt;41%,"Medium Discount","High Discount"))</f>
        <v>High Discount</v>
      </c>
      <c r="G76" s="9" t="s">
        <v>67</v>
      </c>
      <c r="H76" s="11" t="s">
        <v>68</v>
      </c>
      <c r="I76" t="str">
        <f>IF(Table1[[#This Row],[Rating (out of 5)]]="No Rating","NA",IF(Table1[[#This Row],[Rating (out of 5)]]&lt;3,"Poor",IF(Table1[[#This Row],[Rating (out of 5)]]&lt;4.5,"Average","Excellent")))</f>
        <v>NA</v>
      </c>
    </row>
    <row r="77" spans="1:9" x14ac:dyDescent="0.3">
      <c r="A77" t="s">
        <v>86</v>
      </c>
      <c r="B77" s="3">
        <v>790</v>
      </c>
      <c r="C77" s="3">
        <v>1485</v>
      </c>
      <c r="D77" s="3">
        <f>Table1[[#This Row],[Old price]]-Table1[[#This Row],[Current price]]</f>
        <v>695</v>
      </c>
      <c r="E77" s="1">
        <v>0.47</v>
      </c>
      <c r="F77" s="1" t="str">
        <f>IF(Table1[[#This Row],[Discount]]&lt;20%,"Low Discount",IF(Table1[[#This Row],[Discount]]&lt;41%,"Medium Discount","High Discount"))</f>
        <v>High Discount</v>
      </c>
      <c r="G77" s="9" t="s">
        <v>67</v>
      </c>
      <c r="H77" s="11" t="s">
        <v>68</v>
      </c>
      <c r="I77" t="str">
        <f>IF(Table1[[#This Row],[Rating (out of 5)]]="No Rating","NA",IF(Table1[[#This Row],[Rating (out of 5)]]&lt;3,"Poor",IF(Table1[[#This Row],[Rating (out of 5)]]&lt;4.5,"Average","Excellent")))</f>
        <v>NA</v>
      </c>
    </row>
    <row r="78" spans="1:9" x14ac:dyDescent="0.3">
      <c r="A78" t="s">
        <v>87</v>
      </c>
      <c r="B78" s="3">
        <v>169</v>
      </c>
      <c r="C78" s="3">
        <v>320</v>
      </c>
      <c r="D78" s="3">
        <f>Table1[[#This Row],[Old price]]-Table1[[#This Row],[Current price]]</f>
        <v>151</v>
      </c>
      <c r="E78" s="1">
        <v>0.47</v>
      </c>
      <c r="F78" s="1" t="str">
        <f>IF(Table1[[#This Row],[Discount]]&lt;20%,"Low Discount",IF(Table1[[#This Row],[Discount]]&lt;41%,"Medium Discount","High Discount"))</f>
        <v>High Discount</v>
      </c>
      <c r="G78" s="9" t="s">
        <v>67</v>
      </c>
      <c r="H78" s="11" t="s">
        <v>68</v>
      </c>
      <c r="I78" t="str">
        <f>IF(Table1[[#This Row],[Rating (out of 5)]]="No Rating","NA",IF(Table1[[#This Row],[Rating (out of 5)]]&lt;3,"Poor",IF(Table1[[#This Row],[Rating (out of 5)]]&lt;4.5,"Average","Excellent")))</f>
        <v>NA</v>
      </c>
    </row>
    <row r="79" spans="1:9" x14ac:dyDescent="0.3">
      <c r="A79" t="s">
        <v>88</v>
      </c>
      <c r="B79" s="3">
        <v>2200</v>
      </c>
      <c r="C79" s="3">
        <v>4080</v>
      </c>
      <c r="D79" s="3">
        <f>Table1[[#This Row],[Old price]]-Table1[[#This Row],[Current price]]</f>
        <v>1880</v>
      </c>
      <c r="E79" s="1">
        <v>0.46</v>
      </c>
      <c r="F79" s="1" t="str">
        <f>IF(Table1[[#This Row],[Discount]]&lt;20%,"Low Discount",IF(Table1[[#This Row],[Discount]]&lt;41%,"Medium Discount","High Discount"))</f>
        <v>High Discount</v>
      </c>
      <c r="G79" s="9" t="s">
        <v>67</v>
      </c>
      <c r="H79" s="11" t="s">
        <v>68</v>
      </c>
      <c r="I79" t="str">
        <f>IF(Table1[[#This Row],[Rating (out of 5)]]="No Rating","NA",IF(Table1[[#This Row],[Rating (out of 5)]]&lt;3,"Poor",IF(Table1[[#This Row],[Rating (out of 5)]]&lt;4.5,"Average","Excellent")))</f>
        <v>NA</v>
      </c>
    </row>
    <row r="80" spans="1:9" x14ac:dyDescent="0.3">
      <c r="A80" t="s">
        <v>89</v>
      </c>
      <c r="B80" s="3">
        <v>499</v>
      </c>
      <c r="C80" s="3">
        <v>900</v>
      </c>
      <c r="D80" s="3">
        <f>Table1[[#This Row],[Old price]]-Table1[[#This Row],[Current price]]</f>
        <v>401</v>
      </c>
      <c r="E80" s="1">
        <v>0.45</v>
      </c>
      <c r="F80" s="1" t="str">
        <f>IF(Table1[[#This Row],[Discount]]&lt;20%,"Low Discount",IF(Table1[[#This Row],[Discount]]&lt;41%,"Medium Discount","High Discount"))</f>
        <v>High Discount</v>
      </c>
      <c r="G80" s="9" t="s">
        <v>67</v>
      </c>
      <c r="H80" s="11" t="s">
        <v>68</v>
      </c>
      <c r="I80" t="str">
        <f>IF(Table1[[#This Row],[Rating (out of 5)]]="No Rating","NA",IF(Table1[[#This Row],[Rating (out of 5)]]&lt;3,"Poor",IF(Table1[[#This Row],[Rating (out of 5)]]&lt;4.5,"Average","Excellent")))</f>
        <v>NA</v>
      </c>
    </row>
    <row r="81" spans="1:9" x14ac:dyDescent="0.3">
      <c r="A81" t="s">
        <v>90</v>
      </c>
      <c r="B81" s="3">
        <v>690</v>
      </c>
      <c r="C81" s="3">
        <v>1200</v>
      </c>
      <c r="D81" s="3">
        <f>Table1[[#This Row],[Old price]]-Table1[[#This Row],[Current price]]</f>
        <v>510</v>
      </c>
      <c r="E81" s="1">
        <v>0.43</v>
      </c>
      <c r="F81" s="1" t="str">
        <f>IF(Table1[[#This Row],[Discount]]&lt;20%,"Low Discount",IF(Table1[[#This Row],[Discount]]&lt;41%,"Medium Discount","High Discount"))</f>
        <v>High Discount</v>
      </c>
      <c r="G81" s="9" t="s">
        <v>67</v>
      </c>
      <c r="H81" s="11" t="s">
        <v>68</v>
      </c>
      <c r="I81" t="str">
        <f>IF(Table1[[#This Row],[Rating (out of 5)]]="No Rating","NA",IF(Table1[[#This Row],[Rating (out of 5)]]&lt;3,"Poor",IF(Table1[[#This Row],[Rating (out of 5)]]&lt;4.5,"Average","Excellent")))</f>
        <v>NA</v>
      </c>
    </row>
    <row r="82" spans="1:9" x14ac:dyDescent="0.3">
      <c r="A82" t="s">
        <v>91</v>
      </c>
      <c r="B82" s="3">
        <v>630</v>
      </c>
      <c r="C82" s="3">
        <v>1100</v>
      </c>
      <c r="D82" s="3">
        <f>Table1[[#This Row],[Old price]]-Table1[[#This Row],[Current price]]</f>
        <v>470</v>
      </c>
      <c r="E82" s="1">
        <v>0.43</v>
      </c>
      <c r="F82" s="1" t="str">
        <f>IF(Table1[[#This Row],[Discount]]&lt;20%,"Low Discount",IF(Table1[[#This Row],[Discount]]&lt;41%,"Medium Discount","High Discount"))</f>
        <v>High Discount</v>
      </c>
      <c r="G82" s="9" t="s">
        <v>67</v>
      </c>
      <c r="H82" s="11" t="s">
        <v>68</v>
      </c>
      <c r="I82" t="str">
        <f>IF(Table1[[#This Row],[Rating (out of 5)]]="No Rating","NA",IF(Table1[[#This Row],[Rating (out of 5)]]&lt;3,"Poor",IF(Table1[[#This Row],[Rating (out of 5)]]&lt;4.5,"Average","Excellent")))</f>
        <v>NA</v>
      </c>
    </row>
    <row r="83" spans="1:9" x14ac:dyDescent="0.3">
      <c r="A83" t="s">
        <v>92</v>
      </c>
      <c r="B83" s="3">
        <v>1860</v>
      </c>
      <c r="C83" s="3">
        <v>3220</v>
      </c>
      <c r="D83" s="3">
        <f>Table1[[#This Row],[Old price]]-Table1[[#This Row],[Current price]]</f>
        <v>1360</v>
      </c>
      <c r="E83" s="1">
        <v>0.42</v>
      </c>
      <c r="F83" s="1" t="str">
        <f>IF(Table1[[#This Row],[Discount]]&lt;20%,"Low Discount",IF(Table1[[#This Row],[Discount]]&lt;41%,"Medium Discount","High Discount"))</f>
        <v>High Discount</v>
      </c>
      <c r="G83" s="9" t="s">
        <v>67</v>
      </c>
      <c r="H83" s="11" t="s">
        <v>68</v>
      </c>
      <c r="I83" t="str">
        <f>IF(Table1[[#This Row],[Rating (out of 5)]]="No Rating","NA",IF(Table1[[#This Row],[Rating (out of 5)]]&lt;3,"Poor",IF(Table1[[#This Row],[Rating (out of 5)]]&lt;4.5,"Average","Excellent")))</f>
        <v>NA</v>
      </c>
    </row>
    <row r="84" spans="1:9" x14ac:dyDescent="0.3">
      <c r="A84" t="s">
        <v>93</v>
      </c>
      <c r="B84" s="3">
        <v>1080</v>
      </c>
      <c r="C84" s="3">
        <v>1874</v>
      </c>
      <c r="D84" s="3">
        <f>Table1[[#This Row],[Old price]]-Table1[[#This Row],[Current price]]</f>
        <v>794</v>
      </c>
      <c r="E84" s="1">
        <v>0.42</v>
      </c>
      <c r="F84" s="1" t="str">
        <f>IF(Table1[[#This Row],[Discount]]&lt;20%,"Low Discount",IF(Table1[[#This Row],[Discount]]&lt;41%,"Medium Discount","High Discount"))</f>
        <v>High Discount</v>
      </c>
      <c r="G84" s="9" t="s">
        <v>67</v>
      </c>
      <c r="H84" s="11" t="s">
        <v>68</v>
      </c>
      <c r="I84" t="str">
        <f>IF(Table1[[#This Row],[Rating (out of 5)]]="No Rating","NA",IF(Table1[[#This Row],[Rating (out of 5)]]&lt;3,"Poor",IF(Table1[[#This Row],[Rating (out of 5)]]&lt;4.5,"Average","Excellent")))</f>
        <v>NA</v>
      </c>
    </row>
    <row r="85" spans="1:9" x14ac:dyDescent="0.3">
      <c r="A85" t="s">
        <v>94</v>
      </c>
      <c r="B85" s="3">
        <v>610</v>
      </c>
      <c r="C85" s="3">
        <v>1060</v>
      </c>
      <c r="D85" s="3">
        <f>Table1[[#This Row],[Old price]]-Table1[[#This Row],[Current price]]</f>
        <v>450</v>
      </c>
      <c r="E85" s="1">
        <v>0.42</v>
      </c>
      <c r="F85" s="1" t="str">
        <f>IF(Table1[[#This Row],[Discount]]&lt;20%,"Low Discount",IF(Table1[[#This Row],[Discount]]&lt;41%,"Medium Discount","High Discount"))</f>
        <v>High Discount</v>
      </c>
      <c r="G85" s="9" t="s">
        <v>67</v>
      </c>
      <c r="H85" s="11" t="s">
        <v>68</v>
      </c>
      <c r="I85" t="str">
        <f>IF(Table1[[#This Row],[Rating (out of 5)]]="No Rating","NA",IF(Table1[[#This Row],[Rating (out of 5)]]&lt;3,"Poor",IF(Table1[[#This Row],[Rating (out of 5)]]&lt;4.5,"Average","Excellent")))</f>
        <v>NA</v>
      </c>
    </row>
    <row r="86" spans="1:9" x14ac:dyDescent="0.3">
      <c r="A86" t="s">
        <v>95</v>
      </c>
      <c r="B86" s="3">
        <v>1420</v>
      </c>
      <c r="C86" s="3">
        <v>2420</v>
      </c>
      <c r="D86" s="3">
        <f>Table1[[#This Row],[Old price]]-Table1[[#This Row],[Current price]]</f>
        <v>1000</v>
      </c>
      <c r="E86" s="1">
        <v>0.41</v>
      </c>
      <c r="F86" s="1" t="str">
        <f>IF(Table1[[#This Row],[Discount]]&lt;20%,"Low Discount",IF(Table1[[#This Row],[Discount]]&lt;41%,"Medium Discount","High Discount"))</f>
        <v>High Discount</v>
      </c>
      <c r="G86" s="9" t="s">
        <v>67</v>
      </c>
      <c r="H86" s="11" t="s">
        <v>68</v>
      </c>
      <c r="I86" t="str">
        <f>IF(Table1[[#This Row],[Rating (out of 5)]]="No Rating","NA",IF(Table1[[#This Row],[Rating (out of 5)]]&lt;3,"Poor",IF(Table1[[#This Row],[Rating (out of 5)]]&lt;4.5,"Average","Excellent")))</f>
        <v>NA</v>
      </c>
    </row>
    <row r="87" spans="1:9" x14ac:dyDescent="0.3">
      <c r="A87" t="s">
        <v>96</v>
      </c>
      <c r="B87" s="3">
        <v>799</v>
      </c>
      <c r="C87" s="3">
        <v>1343</v>
      </c>
      <c r="D87" s="3">
        <f>Table1[[#This Row],[Old price]]-Table1[[#This Row],[Current price]]</f>
        <v>544</v>
      </c>
      <c r="E87" s="1">
        <v>0.41</v>
      </c>
      <c r="F87" s="1" t="str">
        <f>IF(Table1[[#This Row],[Discount]]&lt;20%,"Low Discount",IF(Table1[[#This Row],[Discount]]&lt;41%,"Medium Discount","High Discount"))</f>
        <v>High Discount</v>
      </c>
      <c r="G87" s="9" t="s">
        <v>67</v>
      </c>
      <c r="H87" s="11" t="s">
        <v>68</v>
      </c>
      <c r="I87" t="str">
        <f>IF(Table1[[#This Row],[Rating (out of 5)]]="No Rating","NA",IF(Table1[[#This Row],[Rating (out of 5)]]&lt;3,"Poor",IF(Table1[[#This Row],[Rating (out of 5)]]&lt;4.5,"Average","Excellent")))</f>
        <v>NA</v>
      </c>
    </row>
    <row r="88" spans="1:9" x14ac:dyDescent="0.3">
      <c r="A88" t="s">
        <v>97</v>
      </c>
      <c r="B88" s="3">
        <v>2750</v>
      </c>
      <c r="C88" s="3">
        <v>4471</v>
      </c>
      <c r="D88" s="3">
        <f>Table1[[#This Row],[Old price]]-Table1[[#This Row],[Current price]]</f>
        <v>1721</v>
      </c>
      <c r="E88" s="1">
        <v>0.38</v>
      </c>
      <c r="F88" s="1" t="str">
        <f>IF(Table1[[#This Row],[Discount]]&lt;20%,"Low Discount",IF(Table1[[#This Row],[Discount]]&lt;41%,"Medium Discount","High Discount"))</f>
        <v>Medium Discount</v>
      </c>
      <c r="G88" s="9" t="s">
        <v>67</v>
      </c>
      <c r="H88" s="11" t="s">
        <v>68</v>
      </c>
      <c r="I88" t="str">
        <f>IF(Table1[[#This Row],[Rating (out of 5)]]="No Rating","NA",IF(Table1[[#This Row],[Rating (out of 5)]]&lt;3,"Poor",IF(Table1[[#This Row],[Rating (out of 5)]]&lt;4.5,"Average","Excellent")))</f>
        <v>NA</v>
      </c>
    </row>
    <row r="89" spans="1:9" x14ac:dyDescent="0.3">
      <c r="A89" t="s">
        <v>98</v>
      </c>
      <c r="B89" s="3">
        <v>1200</v>
      </c>
      <c r="C89" s="3">
        <v>1950</v>
      </c>
      <c r="D89" s="3">
        <f>Table1[[#This Row],[Old price]]-Table1[[#This Row],[Current price]]</f>
        <v>750</v>
      </c>
      <c r="E89" s="1">
        <v>0.38</v>
      </c>
      <c r="F89" s="1" t="str">
        <f>IF(Table1[[#This Row],[Discount]]&lt;20%,"Low Discount",IF(Table1[[#This Row],[Discount]]&lt;41%,"Medium Discount","High Discount"))</f>
        <v>Medium Discount</v>
      </c>
      <c r="G89" s="9" t="s">
        <v>67</v>
      </c>
      <c r="H89" s="11" t="s">
        <v>68</v>
      </c>
      <c r="I89" t="str">
        <f>IF(Table1[[#This Row],[Rating (out of 5)]]="No Rating","NA",IF(Table1[[#This Row],[Rating (out of 5)]]&lt;3,"Poor",IF(Table1[[#This Row],[Rating (out of 5)]]&lt;4.5,"Average","Excellent")))</f>
        <v>NA</v>
      </c>
    </row>
    <row r="90" spans="1:9" x14ac:dyDescent="0.3">
      <c r="A90" t="s">
        <v>99</v>
      </c>
      <c r="B90" s="3">
        <v>1460</v>
      </c>
      <c r="C90" s="3">
        <v>2290</v>
      </c>
      <c r="D90" s="3">
        <f>Table1[[#This Row],[Old price]]-Table1[[#This Row],[Current price]]</f>
        <v>830</v>
      </c>
      <c r="E90" s="1">
        <v>0.36</v>
      </c>
      <c r="F90" s="1" t="str">
        <f>IF(Table1[[#This Row],[Discount]]&lt;20%,"Low Discount",IF(Table1[[#This Row],[Discount]]&lt;41%,"Medium Discount","High Discount"))</f>
        <v>Medium Discount</v>
      </c>
      <c r="G90" s="9" t="s">
        <v>67</v>
      </c>
      <c r="H90" s="11" t="s">
        <v>68</v>
      </c>
      <c r="I90" t="str">
        <f>IF(Table1[[#This Row],[Rating (out of 5)]]="No Rating","NA",IF(Table1[[#This Row],[Rating (out of 5)]]&lt;3,"Poor",IF(Table1[[#This Row],[Rating (out of 5)]]&lt;4.5,"Average","Excellent")))</f>
        <v>NA</v>
      </c>
    </row>
    <row r="91" spans="1:9" x14ac:dyDescent="0.3">
      <c r="A91" t="s">
        <v>100</v>
      </c>
      <c r="B91" s="3">
        <v>1190</v>
      </c>
      <c r="C91" s="3">
        <v>1810</v>
      </c>
      <c r="D91" s="3">
        <f>Table1[[#This Row],[Old price]]-Table1[[#This Row],[Current price]]</f>
        <v>620</v>
      </c>
      <c r="E91" s="1">
        <v>0.34</v>
      </c>
      <c r="F91" s="1" t="str">
        <f>IF(Table1[[#This Row],[Discount]]&lt;20%,"Low Discount",IF(Table1[[#This Row],[Discount]]&lt;41%,"Medium Discount","High Discount"))</f>
        <v>Medium Discount</v>
      </c>
      <c r="G91" s="9" t="s">
        <v>67</v>
      </c>
      <c r="H91" s="11" t="s">
        <v>68</v>
      </c>
      <c r="I91" t="str">
        <f>IF(Table1[[#This Row],[Rating (out of 5)]]="No Rating","NA",IF(Table1[[#This Row],[Rating (out of 5)]]&lt;3,"Poor",IF(Table1[[#This Row],[Rating (out of 5)]]&lt;4.5,"Average","Excellent")))</f>
        <v>NA</v>
      </c>
    </row>
    <row r="92" spans="1:9" x14ac:dyDescent="0.3">
      <c r="A92" t="s">
        <v>101</v>
      </c>
      <c r="B92" s="3">
        <v>1150</v>
      </c>
      <c r="C92" s="3">
        <v>1737</v>
      </c>
      <c r="D92" s="3">
        <f>Table1[[#This Row],[Old price]]-Table1[[#This Row],[Current price]]</f>
        <v>587</v>
      </c>
      <c r="E92" s="1">
        <v>0.34</v>
      </c>
      <c r="F92" s="1" t="str">
        <f>IF(Table1[[#This Row],[Discount]]&lt;20%,"Low Discount",IF(Table1[[#This Row],[Discount]]&lt;41%,"Medium Discount","High Discount"))</f>
        <v>Medium Discount</v>
      </c>
      <c r="G92" s="9" t="s">
        <v>67</v>
      </c>
      <c r="H92" s="11" t="s">
        <v>68</v>
      </c>
      <c r="I92" t="str">
        <f>IF(Table1[[#This Row],[Rating (out of 5)]]="No Rating","NA",IF(Table1[[#This Row],[Rating (out of 5)]]&lt;3,"Poor",IF(Table1[[#This Row],[Rating (out of 5)]]&lt;4.5,"Average","Excellent")))</f>
        <v>NA</v>
      </c>
    </row>
    <row r="93" spans="1:9" x14ac:dyDescent="0.3">
      <c r="A93" t="s">
        <v>102</v>
      </c>
      <c r="B93" s="3">
        <v>1190</v>
      </c>
      <c r="C93" s="3">
        <v>1785</v>
      </c>
      <c r="D93" s="3">
        <f>Table1[[#This Row],[Old price]]-Table1[[#This Row],[Current price]]</f>
        <v>595</v>
      </c>
      <c r="E93" s="1">
        <v>0.33</v>
      </c>
      <c r="F93" s="1" t="str">
        <f>IF(Table1[[#This Row],[Discount]]&lt;20%,"Low Discount",IF(Table1[[#This Row],[Discount]]&lt;41%,"Medium Discount","High Discount"))</f>
        <v>Medium Discount</v>
      </c>
      <c r="G93" s="9" t="s">
        <v>67</v>
      </c>
      <c r="H93" s="11" t="s">
        <v>68</v>
      </c>
      <c r="I93" t="str">
        <f>IF(Table1[[#This Row],[Rating (out of 5)]]="No Rating","NA",IF(Table1[[#This Row],[Rating (out of 5)]]&lt;3,"Poor",IF(Table1[[#This Row],[Rating (out of 5)]]&lt;4.5,"Average","Excellent")))</f>
        <v>NA</v>
      </c>
    </row>
    <row r="94" spans="1:9" x14ac:dyDescent="0.3">
      <c r="A94" t="s">
        <v>103</v>
      </c>
      <c r="B94" s="3">
        <v>2799</v>
      </c>
      <c r="C94" s="3">
        <v>3810</v>
      </c>
      <c r="D94" s="3">
        <f>Table1[[#This Row],[Old price]]-Table1[[#This Row],[Current price]]</f>
        <v>1011</v>
      </c>
      <c r="E94" s="1">
        <v>0.27</v>
      </c>
      <c r="F94" s="1" t="str">
        <f>IF(Table1[[#This Row],[Discount]]&lt;20%,"Low Discount",IF(Table1[[#This Row],[Discount]]&lt;41%,"Medium Discount","High Discount"))</f>
        <v>Medium Discount</v>
      </c>
      <c r="G94" s="9" t="s">
        <v>67</v>
      </c>
      <c r="H94" s="11" t="s">
        <v>68</v>
      </c>
      <c r="I94" t="str">
        <f>IF(Table1[[#This Row],[Rating (out of 5)]]="No Rating","NA",IF(Table1[[#This Row],[Rating (out of 5)]]&lt;3,"Poor",IF(Table1[[#This Row],[Rating (out of 5)]]&lt;4.5,"Average","Excellent")))</f>
        <v>NA</v>
      </c>
    </row>
    <row r="95" spans="1:9" x14ac:dyDescent="0.3">
      <c r="A95" t="s">
        <v>104</v>
      </c>
      <c r="B95" s="3">
        <v>198</v>
      </c>
      <c r="C95" s="3">
        <v>260</v>
      </c>
      <c r="D95" s="3">
        <f>Table1[[#This Row],[Old price]]-Table1[[#This Row],[Current price]]</f>
        <v>62</v>
      </c>
      <c r="E95" s="1">
        <v>0.24</v>
      </c>
      <c r="F95" s="1" t="str">
        <f>IF(Table1[[#This Row],[Discount]]&lt;20%,"Low Discount",IF(Table1[[#This Row],[Discount]]&lt;41%,"Medium Discount","High Discount"))</f>
        <v>Medium Discount</v>
      </c>
      <c r="G95" s="9" t="s">
        <v>67</v>
      </c>
      <c r="H95" s="11" t="s">
        <v>68</v>
      </c>
      <c r="I95" t="str">
        <f>IF(Table1[[#This Row],[Rating (out of 5)]]="No Rating","NA",IF(Table1[[#This Row],[Rating (out of 5)]]&lt;3,"Poor",IF(Table1[[#This Row],[Rating (out of 5)]]&lt;4.5,"Average","Excellent")))</f>
        <v>NA</v>
      </c>
    </row>
    <row r="96" spans="1:9" x14ac:dyDescent="0.3">
      <c r="A96" t="s">
        <v>105</v>
      </c>
      <c r="B96" s="3">
        <v>299</v>
      </c>
      <c r="C96" s="3">
        <v>384</v>
      </c>
      <c r="D96" s="3">
        <f>Table1[[#This Row],[Old price]]-Table1[[#This Row],[Current price]]</f>
        <v>85</v>
      </c>
      <c r="E96" s="1">
        <v>0.22</v>
      </c>
      <c r="F96" s="1" t="str">
        <f>IF(Table1[[#This Row],[Discount]]&lt;20%,"Low Discount",IF(Table1[[#This Row],[Discount]]&lt;41%,"Medium Discount","High Discount"))</f>
        <v>Medium Discount</v>
      </c>
      <c r="G96" s="9" t="s">
        <v>67</v>
      </c>
      <c r="H96" s="11" t="s">
        <v>68</v>
      </c>
      <c r="I96" t="str">
        <f>IF(Table1[[#This Row],[Rating (out of 5)]]="No Rating","NA",IF(Table1[[#This Row],[Rating (out of 5)]]&lt;3,"Poor",IF(Table1[[#This Row],[Rating (out of 5)]]&lt;4.5,"Average","Excellent")))</f>
        <v>NA</v>
      </c>
    </row>
    <row r="97" spans="1:9" x14ac:dyDescent="0.3">
      <c r="A97" t="s">
        <v>106</v>
      </c>
      <c r="B97" s="3">
        <v>1466</v>
      </c>
      <c r="C97" s="3">
        <v>1699</v>
      </c>
      <c r="D97" s="3">
        <f>Table1[[#This Row],[Old price]]-Table1[[#This Row],[Current price]]</f>
        <v>233</v>
      </c>
      <c r="E97" s="1">
        <v>0.14000000000000001</v>
      </c>
      <c r="F97" s="1" t="str">
        <f>IF(Table1[[#This Row],[Discount]]&lt;20%,"Low Discount",IF(Table1[[#This Row],[Discount]]&lt;41%,"Medium Discount","High Discount"))</f>
        <v>Low Discount</v>
      </c>
      <c r="G97" s="9" t="s">
        <v>67</v>
      </c>
      <c r="H97" s="11" t="s">
        <v>68</v>
      </c>
      <c r="I97" t="str">
        <f>IF(Table1[[#This Row],[Rating (out of 5)]]="No Rating","NA",IF(Table1[[#This Row],[Rating (out of 5)]]&lt;3,"Poor",IF(Table1[[#This Row],[Rating (out of 5)]]&lt;4.5,"Average","Excellent")))</f>
        <v>NA</v>
      </c>
    </row>
    <row r="98" spans="1:9" x14ac:dyDescent="0.3">
      <c r="A98" t="s">
        <v>107</v>
      </c>
      <c r="B98" s="3">
        <v>1468</v>
      </c>
      <c r="C98" s="3">
        <v>1699</v>
      </c>
      <c r="D98" s="3">
        <f>Table1[[#This Row],[Old price]]-Table1[[#This Row],[Current price]]</f>
        <v>231</v>
      </c>
      <c r="E98" s="1">
        <v>0.14000000000000001</v>
      </c>
      <c r="F98" s="1" t="str">
        <f>IF(Table1[[#This Row],[Discount]]&lt;20%,"Low Discount",IF(Table1[[#This Row],[Discount]]&lt;41%,"Medium Discount","High Discount"))</f>
        <v>Low Discount</v>
      </c>
      <c r="G98" s="9" t="s">
        <v>67</v>
      </c>
      <c r="H98" s="11" t="s">
        <v>68</v>
      </c>
      <c r="I98" t="str">
        <f>IF(Table1[[#This Row],[Rating (out of 5)]]="No Rating","NA",IF(Table1[[#This Row],[Rating (out of 5)]]&lt;3,"Poor",IF(Table1[[#This Row],[Rating (out of 5)]]&lt;4.5,"Average","Excellent")))</f>
        <v>NA</v>
      </c>
    </row>
    <row r="99" spans="1:9" x14ac:dyDescent="0.3">
      <c r="A99" t="s">
        <v>108</v>
      </c>
      <c r="B99" s="3">
        <v>799</v>
      </c>
      <c r="C99" s="3">
        <v>900</v>
      </c>
      <c r="D99" s="3">
        <f>Table1[[#This Row],[Old price]]-Table1[[#This Row],[Current price]]</f>
        <v>101</v>
      </c>
      <c r="E99" s="1">
        <v>0.11</v>
      </c>
      <c r="F99" s="1" t="str">
        <f>IF(Table1[[#This Row],[Discount]]&lt;20%,"Low Discount",IF(Table1[[#This Row],[Discount]]&lt;41%,"Medium Discount","High Discount"))</f>
        <v>Low Discount</v>
      </c>
      <c r="G99" s="9" t="s">
        <v>67</v>
      </c>
      <c r="H99" s="11" t="s">
        <v>68</v>
      </c>
      <c r="I99" t="str">
        <f>IF(Table1[[#This Row],[Rating (out of 5)]]="No Rating","NA",IF(Table1[[#This Row],[Rating (out of 5)]]&lt;3,"Poor",IF(Table1[[#This Row],[Rating (out of 5)]]&lt;4.5,"Average","Excellent")))</f>
        <v>NA</v>
      </c>
    </row>
    <row r="100" spans="1:9" x14ac:dyDescent="0.3">
      <c r="A100" t="s">
        <v>109</v>
      </c>
      <c r="B100" s="3">
        <v>1526</v>
      </c>
      <c r="C100" s="3">
        <v>1660</v>
      </c>
      <c r="D100" s="3">
        <f>Table1[[#This Row],[Old price]]-Table1[[#This Row],[Current price]]</f>
        <v>134</v>
      </c>
      <c r="E100" s="1">
        <v>0.08</v>
      </c>
      <c r="F100" s="1" t="str">
        <f>IF(Table1[[#This Row],[Discount]]&lt;20%,"Low Discount",IF(Table1[[#This Row],[Discount]]&lt;41%,"Medium Discount","High Discount"))</f>
        <v>Low Discount</v>
      </c>
      <c r="G100" s="9" t="s">
        <v>67</v>
      </c>
      <c r="H100" s="11" t="s">
        <v>68</v>
      </c>
      <c r="I100" t="str">
        <f>IF(Table1[[#This Row],[Rating (out of 5)]]="No Rating","NA",IF(Table1[[#This Row],[Rating (out of 5)]]&lt;3,"Poor",IF(Table1[[#This Row],[Rating (out of 5)]]&lt;4.5,"Average","Excellent")))</f>
        <v>NA</v>
      </c>
    </row>
    <row r="101" spans="1:9" x14ac:dyDescent="0.3">
      <c r="A101" t="s">
        <v>110</v>
      </c>
      <c r="B101" s="3">
        <v>3546</v>
      </c>
      <c r="C101" s="3">
        <v>3699</v>
      </c>
      <c r="D101" s="3">
        <f>Table1[[#This Row],[Old price]]-Table1[[#This Row],[Current price]]</f>
        <v>153</v>
      </c>
      <c r="E101" s="1">
        <v>0.04</v>
      </c>
      <c r="F101" s="1" t="str">
        <f>IF(Table1[[#This Row],[Discount]]&lt;20%,"Low Discount",IF(Table1[[#This Row],[Discount]]&lt;41%,"Medium Discount","High Discount"))</f>
        <v>Low Discount</v>
      </c>
      <c r="G101" s="9" t="s">
        <v>67</v>
      </c>
      <c r="H101" s="11" t="s">
        <v>68</v>
      </c>
      <c r="I101" t="str">
        <f>IF(Table1[[#This Row],[Rating (out of 5)]]="No Rating","NA",IF(Table1[[#This Row],[Rating (out of 5)]]&lt;3,"Poor",IF(Table1[[#This Row],[Rating (out of 5)]]&lt;4.5,"Average","Excellent")))</f>
        <v>NA</v>
      </c>
    </row>
    <row r="102" spans="1:9" x14ac:dyDescent="0.3">
      <c r="A102" t="s">
        <v>111</v>
      </c>
      <c r="B102" s="3">
        <v>1732</v>
      </c>
      <c r="C102" s="3">
        <v>1799</v>
      </c>
      <c r="D102" s="3">
        <f>Table1[[#This Row],[Old price]]-Table1[[#This Row],[Current price]]</f>
        <v>67</v>
      </c>
      <c r="E102" s="1">
        <v>0.04</v>
      </c>
      <c r="F102" s="1" t="str">
        <f>IF(Table1[[#This Row],[Discount]]&lt;20%,"Low Discount",IF(Table1[[#This Row],[Discount]]&lt;41%,"Medium Discount","High Discount"))</f>
        <v>Low Discount</v>
      </c>
      <c r="G102" s="9" t="s">
        <v>67</v>
      </c>
      <c r="H102" s="11" t="s">
        <v>68</v>
      </c>
      <c r="I102" t="str">
        <f>IF(Table1[[#This Row],[Rating (out of 5)]]="No Rating","NA",IF(Table1[[#This Row],[Rating (out of 5)]]&lt;3,"Poor",IF(Table1[[#This Row],[Rating (out of 5)]]&lt;4.5,"Average","Excellent")))</f>
        <v>NA</v>
      </c>
    </row>
    <row r="103" spans="1:9" x14ac:dyDescent="0.3">
      <c r="A103" t="s">
        <v>112</v>
      </c>
      <c r="B103" s="3">
        <v>1459</v>
      </c>
      <c r="C103" s="3">
        <v>1499</v>
      </c>
      <c r="D103" s="3">
        <f>Table1[[#This Row],[Old price]]-Table1[[#This Row],[Current price]]</f>
        <v>40</v>
      </c>
      <c r="E103" s="1">
        <v>0.03</v>
      </c>
      <c r="F103" s="1" t="str">
        <f>IF(Table1[[#This Row],[Discount]]&lt;20%,"Low Discount",IF(Table1[[#This Row],[Discount]]&lt;41%,"Medium Discount","High Discount"))</f>
        <v>Low Discount</v>
      </c>
      <c r="G103" s="9" t="s">
        <v>67</v>
      </c>
      <c r="H103" s="11" t="s">
        <v>68</v>
      </c>
      <c r="I103" t="str">
        <f>IF(Table1[[#This Row],[Rating (out of 5)]]="No Rating","NA",IF(Table1[[#This Row],[Rating (out of 5)]]&lt;3,"Poor",IF(Table1[[#This Row],[Rating (out of 5)]]&lt;4.5,"Average","Excellent")))</f>
        <v>NA</v>
      </c>
    </row>
    <row r="104" spans="1:9" x14ac:dyDescent="0.3">
      <c r="A104" t="s">
        <v>113</v>
      </c>
      <c r="B104" s="3">
        <v>1658</v>
      </c>
      <c r="C104" s="3">
        <v>1699</v>
      </c>
      <c r="D104" s="3">
        <f>Table1[[#This Row],[Old price]]-Table1[[#This Row],[Current price]]</f>
        <v>41</v>
      </c>
      <c r="E104" s="1">
        <v>0.02</v>
      </c>
      <c r="F104" s="1" t="str">
        <f>IF(Table1[[#This Row],[Discount]]&lt;20%,"Low Discount",IF(Table1[[#This Row],[Discount]]&lt;41%,"Medium Discount","High Discount"))</f>
        <v>Low Discount</v>
      </c>
      <c r="G104" s="9" t="s">
        <v>67</v>
      </c>
      <c r="H104" s="11" t="s">
        <v>68</v>
      </c>
      <c r="I104" t="str">
        <f>IF(Table1[[#This Row],[Rating (out of 5)]]="No Rating","NA",IF(Table1[[#This Row],[Rating (out of 5)]]&lt;3,"Poor",IF(Table1[[#This Row],[Rating (out of 5)]]&lt;4.5,"Average","Excellent")))</f>
        <v>NA</v>
      </c>
    </row>
    <row r="105" spans="1:9" x14ac:dyDescent="0.3">
      <c r="A105" t="s">
        <v>114</v>
      </c>
      <c r="B105" s="3">
        <v>1660</v>
      </c>
      <c r="C105" s="3">
        <v>1699</v>
      </c>
      <c r="D105" s="3">
        <f>Table1[[#This Row],[Old price]]-Table1[[#This Row],[Current price]]</f>
        <v>39</v>
      </c>
      <c r="E105" s="1">
        <v>0.02</v>
      </c>
      <c r="F105" s="1" t="str">
        <f>IF(Table1[[#This Row],[Discount]]&lt;20%,"Low Discount",IF(Table1[[#This Row],[Discount]]&lt;41%,"Medium Discount","High Discount"))</f>
        <v>Low Discount</v>
      </c>
      <c r="G105" s="9" t="s">
        <v>67</v>
      </c>
      <c r="H105" s="11" t="s">
        <v>68</v>
      </c>
      <c r="I105" t="str">
        <f>IF(Table1[[#This Row],[Rating (out of 5)]]="No Rating","NA",IF(Table1[[#This Row],[Rating (out of 5)]]&lt;3,"Poor",IF(Table1[[#This Row],[Rating (out of 5)]]&lt;4.5,"Average","Excellent")))</f>
        <v>NA</v>
      </c>
    </row>
    <row r="106" spans="1:9" x14ac:dyDescent="0.3">
      <c r="A106" t="s">
        <v>115</v>
      </c>
      <c r="B106" s="3">
        <v>1462</v>
      </c>
      <c r="C106" s="3">
        <v>1499</v>
      </c>
      <c r="D106" s="3">
        <f>Table1[[#This Row],[Old price]]-Table1[[#This Row],[Current price]]</f>
        <v>37</v>
      </c>
      <c r="E106" s="1">
        <v>0.02</v>
      </c>
      <c r="F106" s="1" t="str">
        <f>IF(Table1[[#This Row],[Discount]]&lt;20%,"Low Discount",IF(Table1[[#This Row],[Discount]]&lt;41%,"Medium Discount","High Discount"))</f>
        <v>Low Discount</v>
      </c>
      <c r="G106" s="9" t="s">
        <v>67</v>
      </c>
      <c r="H106" s="11" t="s">
        <v>68</v>
      </c>
      <c r="I106" t="str">
        <f>IF(Table1[[#This Row],[Rating (out of 5)]]="No Rating","NA",IF(Table1[[#This Row],[Rating (out of 5)]]&lt;3,"Poor",IF(Table1[[#This Row],[Rating (out of 5)]]&lt;4.5,"Average","Excellent")))</f>
        <v>NA</v>
      </c>
    </row>
    <row r="107" spans="1:9" x14ac:dyDescent="0.3">
      <c r="A107" t="s">
        <v>116</v>
      </c>
      <c r="B107" s="3">
        <v>2132</v>
      </c>
      <c r="C107" s="3">
        <v>2169</v>
      </c>
      <c r="D107" s="3">
        <f>Table1[[#This Row],[Old price]]-Table1[[#This Row],[Current price]]</f>
        <v>37</v>
      </c>
      <c r="E107" s="1">
        <v>0.02</v>
      </c>
      <c r="F107" s="1" t="str">
        <f>IF(Table1[[#This Row],[Discount]]&lt;20%,"Low Discount",IF(Table1[[#This Row],[Discount]]&lt;41%,"Medium Discount","High Discount"))</f>
        <v>Low Discount</v>
      </c>
      <c r="G107" s="9" t="s">
        <v>67</v>
      </c>
      <c r="H107" s="11" t="s">
        <v>68</v>
      </c>
      <c r="I107" t="str">
        <f>IF(Table1[[#This Row],[Rating (out of 5)]]="No Rating","NA",IF(Table1[[#This Row],[Rating (out of 5)]]&lt;3,"Poor",IF(Table1[[#This Row],[Rating (out of 5)]]&lt;4.5,"Average","Excellent")))</f>
        <v>NA</v>
      </c>
    </row>
    <row r="108" spans="1:9" x14ac:dyDescent="0.3">
      <c r="A108" t="s">
        <v>117</v>
      </c>
      <c r="B108" s="3">
        <v>1666</v>
      </c>
      <c r="C108" s="3">
        <v>1699</v>
      </c>
      <c r="D108" s="3">
        <f>Table1[[#This Row],[Old price]]-Table1[[#This Row],[Current price]]</f>
        <v>33</v>
      </c>
      <c r="E108" s="1">
        <v>0.02</v>
      </c>
      <c r="F108" s="1" t="str">
        <f>IF(Table1[[#This Row],[Discount]]&lt;20%,"Low Discount",IF(Table1[[#This Row],[Discount]]&lt;41%,"Medium Discount","High Discount"))</f>
        <v>Low Discount</v>
      </c>
      <c r="G108" s="9" t="s">
        <v>67</v>
      </c>
      <c r="H108" s="11" t="s">
        <v>68</v>
      </c>
      <c r="I108" t="str">
        <f>IF(Table1[[#This Row],[Rating (out of 5)]]="No Rating","NA",IF(Table1[[#This Row],[Rating (out of 5)]]&lt;3,"Poor",IF(Table1[[#This Row],[Rating (out of 5)]]&lt;4.5,"Average","Excellent")))</f>
        <v>NA</v>
      </c>
    </row>
    <row r="109" spans="1:9" x14ac:dyDescent="0.3">
      <c r="A109" t="s">
        <v>118</v>
      </c>
      <c r="B109" s="3">
        <v>1768</v>
      </c>
      <c r="C109" s="3">
        <v>1799</v>
      </c>
      <c r="D109" s="3">
        <f>Table1[[#This Row],[Old price]]-Table1[[#This Row],[Current price]]</f>
        <v>31</v>
      </c>
      <c r="E109" s="1">
        <v>0.02</v>
      </c>
      <c r="F109" s="1" t="str">
        <f>IF(Table1[[#This Row],[Discount]]&lt;20%,"Low Discount",IF(Table1[[#This Row],[Discount]]&lt;41%,"Medium Discount","High Discount"))</f>
        <v>Low Discount</v>
      </c>
      <c r="G109" s="9" t="s">
        <v>67</v>
      </c>
      <c r="H109" s="11" t="s">
        <v>68</v>
      </c>
      <c r="I109" t="str">
        <f>IF(Table1[[#This Row],[Rating (out of 5)]]="No Rating","NA",IF(Table1[[#This Row],[Rating (out of 5)]]&lt;3,"Poor",IF(Table1[[#This Row],[Rating (out of 5)]]&lt;4.5,"Average","Excellent")))</f>
        <v>NA</v>
      </c>
    </row>
    <row r="110" spans="1:9" x14ac:dyDescent="0.3">
      <c r="A110" t="s">
        <v>119</v>
      </c>
      <c r="B110" s="3">
        <v>1875</v>
      </c>
      <c r="C110" s="3">
        <v>1899</v>
      </c>
      <c r="D110" s="3">
        <f>Table1[[#This Row],[Old price]]-Table1[[#This Row],[Current price]]</f>
        <v>24</v>
      </c>
      <c r="E110" s="1">
        <v>0.01</v>
      </c>
      <c r="F110" s="1" t="str">
        <f>IF(Table1[[#This Row],[Discount]]&lt;20%,"Low Discount",IF(Table1[[#This Row],[Discount]]&lt;41%,"Medium Discount","High Discount"))</f>
        <v>Low Discount</v>
      </c>
      <c r="G110" s="9" t="s">
        <v>67</v>
      </c>
      <c r="H110" s="11" t="s">
        <v>68</v>
      </c>
      <c r="I110" t="str">
        <f>IF(Table1[[#This Row],[Rating (out of 5)]]="No Rating","NA",IF(Table1[[#This Row],[Rating (out of 5)]]&lt;3,"Poor",IF(Table1[[#This Row],[Rating (out of 5)]]&lt;4.5,"Average","Excellent")))</f>
        <v>NA</v>
      </c>
    </row>
    <row r="111" spans="1:9" x14ac:dyDescent="0.3">
      <c r="B111"/>
      <c r="G111"/>
    </row>
    <row r="112" spans="1:9" x14ac:dyDescent="0.3">
      <c r="B112" s="3">
        <f>AVERAGE(B2:B110)</f>
        <v>1209.9082568807339</v>
      </c>
      <c r="C112" s="3">
        <f>AVERAGE(C2:C110)</f>
        <v>1842.3394495412845</v>
      </c>
      <c r="D112" s="3">
        <f>AVERAGE(D2:D110)</f>
        <v>632.43119266055044</v>
      </c>
      <c r="E112" s="5">
        <f>AVERAGE(E2:E110)</f>
        <v>0.36385321100917456</v>
      </c>
      <c r="F112" s="5"/>
      <c r="G112" s="7">
        <f>AVERAGE(G2:G110)</f>
        <v>12.684210526315789</v>
      </c>
      <c r="H112" s="7">
        <f>AVERAGE(H2:H110)</f>
        <v>3.8894736842105253</v>
      </c>
    </row>
    <row r="113" spans="2:7" x14ac:dyDescent="0.3">
      <c r="B113"/>
      <c r="G113"/>
    </row>
    <row r="114" spans="2:7" x14ac:dyDescent="0.3">
      <c r="B114"/>
      <c r="G114"/>
    </row>
    <row r="115" spans="2:7" x14ac:dyDescent="0.3">
      <c r="B115"/>
      <c r="G115"/>
    </row>
    <row r="116" spans="2:7" x14ac:dyDescent="0.3">
      <c r="B116"/>
      <c r="G116"/>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47825-66C9-4E97-8FA2-6CDBA68CABCC}">
  <dimension ref="B5:C115"/>
  <sheetViews>
    <sheetView workbookViewId="0">
      <selection activeCell="B37" sqref="B37"/>
    </sheetView>
  </sheetViews>
  <sheetFormatPr defaultRowHeight="14.4" x14ac:dyDescent="0.3"/>
  <cols>
    <col min="2" max="2" width="85.33203125" bestFit="1" customWidth="1"/>
    <col min="3" max="3" width="14.77734375" bestFit="1" customWidth="1"/>
  </cols>
  <sheetData>
    <row r="5" spans="2:3" x14ac:dyDescent="0.3">
      <c r="B5" s="12" t="s">
        <v>120</v>
      </c>
      <c r="C5" t="s">
        <v>121</v>
      </c>
    </row>
    <row r="6" spans="2:3" x14ac:dyDescent="0.3">
      <c r="B6" s="13" t="s">
        <v>30</v>
      </c>
      <c r="C6">
        <v>1</v>
      </c>
    </row>
    <row r="7" spans="2:3" x14ac:dyDescent="0.3">
      <c r="B7" s="13" t="s">
        <v>41</v>
      </c>
      <c r="C7">
        <v>1</v>
      </c>
    </row>
    <row r="8" spans="2:3" x14ac:dyDescent="0.3">
      <c r="B8" s="13" t="s">
        <v>74</v>
      </c>
      <c r="C8">
        <v>1</v>
      </c>
    </row>
    <row r="9" spans="2:3" x14ac:dyDescent="0.3">
      <c r="B9" s="13" t="s">
        <v>53</v>
      </c>
      <c r="C9">
        <v>1</v>
      </c>
    </row>
    <row r="10" spans="2:3" x14ac:dyDescent="0.3">
      <c r="B10" s="13" t="s">
        <v>96</v>
      </c>
      <c r="C10">
        <v>1</v>
      </c>
    </row>
    <row r="11" spans="2:3" x14ac:dyDescent="0.3">
      <c r="B11" s="13" t="s">
        <v>45</v>
      </c>
      <c r="C11">
        <v>1</v>
      </c>
    </row>
    <row r="12" spans="2:3" x14ac:dyDescent="0.3">
      <c r="B12" s="13" t="s">
        <v>97</v>
      </c>
      <c r="C12">
        <v>1</v>
      </c>
    </row>
    <row r="13" spans="2:3" x14ac:dyDescent="0.3">
      <c r="B13" s="13" t="s">
        <v>28</v>
      </c>
      <c r="C13">
        <v>1</v>
      </c>
    </row>
    <row r="14" spans="2:3" x14ac:dyDescent="0.3">
      <c r="B14" s="13" t="s">
        <v>63</v>
      </c>
      <c r="C14">
        <v>1</v>
      </c>
    </row>
    <row r="15" spans="2:3" x14ac:dyDescent="0.3">
      <c r="B15" s="13" t="s">
        <v>54</v>
      </c>
      <c r="C15">
        <v>1</v>
      </c>
    </row>
    <row r="16" spans="2:3" x14ac:dyDescent="0.3">
      <c r="B16" s="13" t="s">
        <v>109</v>
      </c>
      <c r="C16">
        <v>1</v>
      </c>
    </row>
    <row r="17" spans="2:3" x14ac:dyDescent="0.3">
      <c r="B17" s="13" t="s">
        <v>19</v>
      </c>
      <c r="C17">
        <v>1</v>
      </c>
    </row>
    <row r="18" spans="2:3" x14ac:dyDescent="0.3">
      <c r="B18" s="13" t="s">
        <v>48</v>
      </c>
      <c r="C18">
        <v>1</v>
      </c>
    </row>
    <row r="19" spans="2:3" x14ac:dyDescent="0.3">
      <c r="B19" s="13" t="s">
        <v>103</v>
      </c>
      <c r="C19">
        <v>1</v>
      </c>
    </row>
    <row r="20" spans="2:3" x14ac:dyDescent="0.3">
      <c r="B20" s="13" t="s">
        <v>38</v>
      </c>
      <c r="C20">
        <v>1</v>
      </c>
    </row>
    <row r="21" spans="2:3" x14ac:dyDescent="0.3">
      <c r="B21" s="13" t="s">
        <v>27</v>
      </c>
      <c r="C21">
        <v>1</v>
      </c>
    </row>
    <row r="22" spans="2:3" x14ac:dyDescent="0.3">
      <c r="B22" s="13" t="s">
        <v>51</v>
      </c>
      <c r="C22">
        <v>1</v>
      </c>
    </row>
    <row r="23" spans="2:3" x14ac:dyDescent="0.3">
      <c r="B23" s="13" t="s">
        <v>50</v>
      </c>
      <c r="C23">
        <v>1</v>
      </c>
    </row>
    <row r="24" spans="2:3" x14ac:dyDescent="0.3">
      <c r="B24" s="13" t="s">
        <v>112</v>
      </c>
      <c r="C24">
        <v>1</v>
      </c>
    </row>
    <row r="25" spans="2:3" x14ac:dyDescent="0.3">
      <c r="B25" s="13" t="s">
        <v>104</v>
      </c>
      <c r="C25">
        <v>1</v>
      </c>
    </row>
    <row r="26" spans="2:3" x14ac:dyDescent="0.3">
      <c r="B26" s="13" t="s">
        <v>49</v>
      </c>
      <c r="C26">
        <v>1</v>
      </c>
    </row>
    <row r="27" spans="2:3" x14ac:dyDescent="0.3">
      <c r="B27" s="13" t="s">
        <v>117</v>
      </c>
      <c r="C27">
        <v>1</v>
      </c>
    </row>
    <row r="28" spans="2:3" x14ac:dyDescent="0.3">
      <c r="B28" s="13" t="s">
        <v>89</v>
      </c>
      <c r="C28">
        <v>1</v>
      </c>
    </row>
    <row r="29" spans="2:3" x14ac:dyDescent="0.3">
      <c r="B29" s="13" t="s">
        <v>33</v>
      </c>
      <c r="C29">
        <v>1</v>
      </c>
    </row>
    <row r="30" spans="2:3" x14ac:dyDescent="0.3">
      <c r="B30" s="13" t="s">
        <v>52</v>
      </c>
      <c r="C30">
        <v>1</v>
      </c>
    </row>
    <row r="31" spans="2:3" x14ac:dyDescent="0.3">
      <c r="B31" s="13" t="s">
        <v>119</v>
      </c>
      <c r="C31">
        <v>1</v>
      </c>
    </row>
    <row r="32" spans="2:3" x14ac:dyDescent="0.3">
      <c r="B32" s="13" t="s">
        <v>64</v>
      </c>
      <c r="C32">
        <v>1</v>
      </c>
    </row>
    <row r="33" spans="2:3" x14ac:dyDescent="0.3">
      <c r="B33" s="13" t="s">
        <v>70</v>
      </c>
      <c r="C33">
        <v>1</v>
      </c>
    </row>
    <row r="34" spans="2:3" x14ac:dyDescent="0.3">
      <c r="B34" s="13" t="s">
        <v>42</v>
      </c>
      <c r="C34">
        <v>1</v>
      </c>
    </row>
    <row r="35" spans="2:3" x14ac:dyDescent="0.3">
      <c r="B35" s="13" t="s">
        <v>98</v>
      </c>
      <c r="C35">
        <v>1</v>
      </c>
    </row>
    <row r="36" spans="2:3" x14ac:dyDescent="0.3">
      <c r="B36" s="13" t="s">
        <v>65</v>
      </c>
      <c r="C36">
        <v>1</v>
      </c>
    </row>
    <row r="37" spans="2:3" x14ac:dyDescent="0.3">
      <c r="B37" s="13" t="s">
        <v>86</v>
      </c>
      <c r="C37">
        <v>1</v>
      </c>
    </row>
    <row r="38" spans="2:3" x14ac:dyDescent="0.3">
      <c r="B38" s="13" t="s">
        <v>43</v>
      </c>
      <c r="C38">
        <v>1</v>
      </c>
    </row>
    <row r="39" spans="2:3" x14ac:dyDescent="0.3">
      <c r="B39" s="13" t="s">
        <v>24</v>
      </c>
      <c r="C39">
        <v>1</v>
      </c>
    </row>
    <row r="40" spans="2:3" x14ac:dyDescent="0.3">
      <c r="B40" s="13" t="s">
        <v>32</v>
      </c>
      <c r="C40">
        <v>1</v>
      </c>
    </row>
    <row r="41" spans="2:3" x14ac:dyDescent="0.3">
      <c r="B41" s="13" t="s">
        <v>14</v>
      </c>
      <c r="C41">
        <v>1</v>
      </c>
    </row>
    <row r="42" spans="2:3" x14ac:dyDescent="0.3">
      <c r="B42" s="13" t="s">
        <v>34</v>
      </c>
      <c r="C42">
        <v>1</v>
      </c>
    </row>
    <row r="43" spans="2:3" x14ac:dyDescent="0.3">
      <c r="B43" s="13" t="s">
        <v>47</v>
      </c>
      <c r="C43">
        <v>1</v>
      </c>
    </row>
    <row r="44" spans="2:3" x14ac:dyDescent="0.3">
      <c r="B44" s="13" t="s">
        <v>91</v>
      </c>
      <c r="C44">
        <v>1</v>
      </c>
    </row>
    <row r="45" spans="2:3" x14ac:dyDescent="0.3">
      <c r="B45" s="13" t="s">
        <v>90</v>
      </c>
      <c r="C45">
        <v>1</v>
      </c>
    </row>
    <row r="46" spans="2:3" x14ac:dyDescent="0.3">
      <c r="B46" s="13" t="s">
        <v>106</v>
      </c>
      <c r="C46">
        <v>1</v>
      </c>
    </row>
    <row r="47" spans="2:3" x14ac:dyDescent="0.3">
      <c r="B47" s="13" t="s">
        <v>26</v>
      </c>
      <c r="C47">
        <v>1</v>
      </c>
    </row>
    <row r="48" spans="2:3" x14ac:dyDescent="0.3">
      <c r="B48" s="13" t="s">
        <v>105</v>
      </c>
      <c r="C48">
        <v>1</v>
      </c>
    </row>
    <row r="49" spans="2:3" x14ac:dyDescent="0.3">
      <c r="B49" s="13" t="s">
        <v>80</v>
      </c>
      <c r="C49">
        <v>1</v>
      </c>
    </row>
    <row r="50" spans="2:3" x14ac:dyDescent="0.3">
      <c r="B50" s="13" t="s">
        <v>29</v>
      </c>
      <c r="C50">
        <v>1</v>
      </c>
    </row>
    <row r="51" spans="2:3" x14ac:dyDescent="0.3">
      <c r="B51" s="13" t="s">
        <v>57</v>
      </c>
      <c r="C51">
        <v>1</v>
      </c>
    </row>
    <row r="52" spans="2:3" x14ac:dyDescent="0.3">
      <c r="B52" s="13" t="s">
        <v>116</v>
      </c>
      <c r="C52">
        <v>1</v>
      </c>
    </row>
    <row r="53" spans="2:3" x14ac:dyDescent="0.3">
      <c r="B53" s="13" t="s">
        <v>78</v>
      </c>
      <c r="C53">
        <v>1</v>
      </c>
    </row>
    <row r="54" spans="2:3" x14ac:dyDescent="0.3">
      <c r="B54" s="13" t="s">
        <v>20</v>
      </c>
      <c r="C54">
        <v>1</v>
      </c>
    </row>
    <row r="55" spans="2:3" x14ac:dyDescent="0.3">
      <c r="B55" s="13" t="s">
        <v>92</v>
      </c>
      <c r="C55">
        <v>1</v>
      </c>
    </row>
    <row r="56" spans="2:3" x14ac:dyDescent="0.3">
      <c r="B56" s="13" t="s">
        <v>107</v>
      </c>
      <c r="C56">
        <v>1</v>
      </c>
    </row>
    <row r="57" spans="2:3" x14ac:dyDescent="0.3">
      <c r="B57" s="13" t="s">
        <v>16</v>
      </c>
      <c r="C57">
        <v>1</v>
      </c>
    </row>
    <row r="58" spans="2:3" x14ac:dyDescent="0.3">
      <c r="B58" s="13" t="s">
        <v>44</v>
      </c>
      <c r="C58">
        <v>1</v>
      </c>
    </row>
    <row r="59" spans="2:3" x14ac:dyDescent="0.3">
      <c r="B59" s="13" t="s">
        <v>35</v>
      </c>
      <c r="C59">
        <v>1</v>
      </c>
    </row>
    <row r="60" spans="2:3" x14ac:dyDescent="0.3">
      <c r="B60" s="13" t="s">
        <v>31</v>
      </c>
      <c r="C60">
        <v>1</v>
      </c>
    </row>
    <row r="61" spans="2:3" x14ac:dyDescent="0.3">
      <c r="B61" s="13" t="s">
        <v>46</v>
      </c>
      <c r="C61">
        <v>1</v>
      </c>
    </row>
    <row r="62" spans="2:3" x14ac:dyDescent="0.3">
      <c r="B62" s="13" t="s">
        <v>11</v>
      </c>
      <c r="C62">
        <v>1</v>
      </c>
    </row>
    <row r="63" spans="2:3" x14ac:dyDescent="0.3">
      <c r="B63" s="13" t="s">
        <v>55</v>
      </c>
      <c r="C63">
        <v>1</v>
      </c>
    </row>
    <row r="64" spans="2:3" x14ac:dyDescent="0.3">
      <c r="B64" s="13" t="s">
        <v>39</v>
      </c>
      <c r="C64">
        <v>1</v>
      </c>
    </row>
    <row r="65" spans="2:3" x14ac:dyDescent="0.3">
      <c r="B65" s="13" t="s">
        <v>99</v>
      </c>
      <c r="C65">
        <v>1</v>
      </c>
    </row>
    <row r="66" spans="2:3" x14ac:dyDescent="0.3">
      <c r="B66" s="13" t="s">
        <v>36</v>
      </c>
      <c r="C66">
        <v>1</v>
      </c>
    </row>
    <row r="67" spans="2:3" x14ac:dyDescent="0.3">
      <c r="B67" s="13" t="s">
        <v>10</v>
      </c>
      <c r="C67">
        <v>1</v>
      </c>
    </row>
    <row r="68" spans="2:3" x14ac:dyDescent="0.3">
      <c r="B68" s="13" t="s">
        <v>18</v>
      </c>
      <c r="C68">
        <v>1</v>
      </c>
    </row>
    <row r="69" spans="2:3" x14ac:dyDescent="0.3">
      <c r="B69" s="13" t="s">
        <v>66</v>
      </c>
      <c r="C69">
        <v>1</v>
      </c>
    </row>
    <row r="70" spans="2:3" x14ac:dyDescent="0.3">
      <c r="B70" s="13" t="s">
        <v>25</v>
      </c>
      <c r="C70">
        <v>1</v>
      </c>
    </row>
    <row r="71" spans="2:3" x14ac:dyDescent="0.3">
      <c r="B71" s="13" t="s">
        <v>85</v>
      </c>
      <c r="C71">
        <v>1</v>
      </c>
    </row>
    <row r="72" spans="2:3" x14ac:dyDescent="0.3">
      <c r="B72" s="13" t="s">
        <v>61</v>
      </c>
      <c r="C72">
        <v>1</v>
      </c>
    </row>
    <row r="73" spans="2:3" x14ac:dyDescent="0.3">
      <c r="B73" s="13" t="s">
        <v>102</v>
      </c>
      <c r="C73">
        <v>1</v>
      </c>
    </row>
    <row r="74" spans="2:3" x14ac:dyDescent="0.3">
      <c r="B74" s="13" t="s">
        <v>56</v>
      </c>
      <c r="C74">
        <v>1</v>
      </c>
    </row>
    <row r="75" spans="2:3" x14ac:dyDescent="0.3">
      <c r="B75" s="13" t="s">
        <v>81</v>
      </c>
      <c r="C75">
        <v>1</v>
      </c>
    </row>
    <row r="76" spans="2:3" x14ac:dyDescent="0.3">
      <c r="B76" s="13" t="s">
        <v>40</v>
      </c>
      <c r="C76">
        <v>1</v>
      </c>
    </row>
    <row r="77" spans="2:3" x14ac:dyDescent="0.3">
      <c r="B77" s="13" t="s">
        <v>12</v>
      </c>
      <c r="C77">
        <v>1</v>
      </c>
    </row>
    <row r="78" spans="2:3" x14ac:dyDescent="0.3">
      <c r="B78" s="13" t="s">
        <v>101</v>
      </c>
      <c r="C78">
        <v>1</v>
      </c>
    </row>
    <row r="79" spans="2:3" x14ac:dyDescent="0.3">
      <c r="B79" s="13" t="s">
        <v>93</v>
      </c>
      <c r="C79">
        <v>1</v>
      </c>
    </row>
    <row r="80" spans="2:3" x14ac:dyDescent="0.3">
      <c r="B80" s="13" t="s">
        <v>22</v>
      </c>
      <c r="C80">
        <v>1</v>
      </c>
    </row>
    <row r="81" spans="2:3" x14ac:dyDescent="0.3">
      <c r="B81" s="13" t="s">
        <v>95</v>
      </c>
      <c r="C81">
        <v>1</v>
      </c>
    </row>
    <row r="82" spans="2:3" x14ac:dyDescent="0.3">
      <c r="B82" s="13" t="s">
        <v>110</v>
      </c>
      <c r="C82">
        <v>1</v>
      </c>
    </row>
    <row r="83" spans="2:3" x14ac:dyDescent="0.3">
      <c r="B83" s="13" t="s">
        <v>17</v>
      </c>
      <c r="C83">
        <v>1</v>
      </c>
    </row>
    <row r="84" spans="2:3" x14ac:dyDescent="0.3">
      <c r="B84" s="13" t="s">
        <v>37</v>
      </c>
      <c r="C84">
        <v>1</v>
      </c>
    </row>
    <row r="85" spans="2:3" x14ac:dyDescent="0.3">
      <c r="B85" s="13" t="s">
        <v>75</v>
      </c>
      <c r="C85">
        <v>1</v>
      </c>
    </row>
    <row r="86" spans="2:3" x14ac:dyDescent="0.3">
      <c r="B86" s="13" t="s">
        <v>88</v>
      </c>
      <c r="C86">
        <v>1</v>
      </c>
    </row>
    <row r="87" spans="2:3" x14ac:dyDescent="0.3">
      <c r="B87" s="13" t="s">
        <v>60</v>
      </c>
      <c r="C87">
        <v>1</v>
      </c>
    </row>
    <row r="88" spans="2:3" x14ac:dyDescent="0.3">
      <c r="B88" s="13" t="s">
        <v>21</v>
      </c>
      <c r="C88">
        <v>1</v>
      </c>
    </row>
    <row r="89" spans="2:3" x14ac:dyDescent="0.3">
      <c r="B89" s="13" t="s">
        <v>13</v>
      </c>
      <c r="C89">
        <v>1</v>
      </c>
    </row>
    <row r="90" spans="2:3" x14ac:dyDescent="0.3">
      <c r="B90" s="13" t="s">
        <v>108</v>
      </c>
      <c r="C90">
        <v>1</v>
      </c>
    </row>
    <row r="91" spans="2:3" x14ac:dyDescent="0.3">
      <c r="B91" s="13" t="s">
        <v>77</v>
      </c>
      <c r="C91">
        <v>1</v>
      </c>
    </row>
    <row r="92" spans="2:3" x14ac:dyDescent="0.3">
      <c r="B92" s="13" t="s">
        <v>114</v>
      </c>
      <c r="C92">
        <v>1</v>
      </c>
    </row>
    <row r="93" spans="2:3" x14ac:dyDescent="0.3">
      <c r="B93" s="13" t="s">
        <v>94</v>
      </c>
      <c r="C93">
        <v>1</v>
      </c>
    </row>
    <row r="94" spans="2:3" x14ac:dyDescent="0.3">
      <c r="B94" s="13" t="s">
        <v>58</v>
      </c>
      <c r="C94">
        <v>1</v>
      </c>
    </row>
    <row r="95" spans="2:3" x14ac:dyDescent="0.3">
      <c r="B95" s="13" t="s">
        <v>62</v>
      </c>
      <c r="C95">
        <v>1</v>
      </c>
    </row>
    <row r="96" spans="2:3" x14ac:dyDescent="0.3">
      <c r="B96" s="13" t="s">
        <v>115</v>
      </c>
      <c r="C96">
        <v>1</v>
      </c>
    </row>
    <row r="97" spans="2:3" x14ac:dyDescent="0.3">
      <c r="B97" s="13" t="s">
        <v>87</v>
      </c>
      <c r="C97">
        <v>1</v>
      </c>
    </row>
    <row r="98" spans="2:3" x14ac:dyDescent="0.3">
      <c r="B98" s="13" t="s">
        <v>82</v>
      </c>
      <c r="C98">
        <v>1</v>
      </c>
    </row>
    <row r="99" spans="2:3" x14ac:dyDescent="0.3">
      <c r="B99" s="13" t="s">
        <v>73</v>
      </c>
      <c r="C99">
        <v>1</v>
      </c>
    </row>
    <row r="100" spans="2:3" x14ac:dyDescent="0.3">
      <c r="B100" s="13" t="s">
        <v>84</v>
      </c>
      <c r="C100">
        <v>1</v>
      </c>
    </row>
    <row r="101" spans="2:3" x14ac:dyDescent="0.3">
      <c r="B101" s="13" t="s">
        <v>76</v>
      </c>
      <c r="C101">
        <v>1</v>
      </c>
    </row>
    <row r="102" spans="2:3" x14ac:dyDescent="0.3">
      <c r="B102" s="13" t="s">
        <v>113</v>
      </c>
      <c r="C102">
        <v>1</v>
      </c>
    </row>
    <row r="103" spans="2:3" x14ac:dyDescent="0.3">
      <c r="B103" s="13" t="s">
        <v>79</v>
      </c>
      <c r="C103">
        <v>1</v>
      </c>
    </row>
    <row r="104" spans="2:3" x14ac:dyDescent="0.3">
      <c r="B104" s="13" t="s">
        <v>118</v>
      </c>
      <c r="C104">
        <v>1</v>
      </c>
    </row>
    <row r="105" spans="2:3" x14ac:dyDescent="0.3">
      <c r="B105" s="13" t="s">
        <v>100</v>
      </c>
      <c r="C105">
        <v>1</v>
      </c>
    </row>
    <row r="106" spans="2:3" x14ac:dyDescent="0.3">
      <c r="B106" s="13" t="s">
        <v>72</v>
      </c>
      <c r="C106">
        <v>1</v>
      </c>
    </row>
    <row r="107" spans="2:3" x14ac:dyDescent="0.3">
      <c r="B107" s="13" t="s">
        <v>71</v>
      </c>
      <c r="C107">
        <v>1</v>
      </c>
    </row>
    <row r="108" spans="2:3" x14ac:dyDescent="0.3">
      <c r="B108" s="13" t="s">
        <v>9</v>
      </c>
      <c r="C108">
        <v>1</v>
      </c>
    </row>
    <row r="109" spans="2:3" x14ac:dyDescent="0.3">
      <c r="B109" s="13" t="s">
        <v>83</v>
      </c>
      <c r="C109">
        <v>1</v>
      </c>
    </row>
    <row r="110" spans="2:3" x14ac:dyDescent="0.3">
      <c r="B110" s="13" t="s">
        <v>15</v>
      </c>
      <c r="C110">
        <v>1</v>
      </c>
    </row>
    <row r="111" spans="2:3" x14ac:dyDescent="0.3">
      <c r="B111" s="13" t="s">
        <v>59</v>
      </c>
      <c r="C111">
        <v>1</v>
      </c>
    </row>
    <row r="112" spans="2:3" x14ac:dyDescent="0.3">
      <c r="B112" s="13" t="s">
        <v>23</v>
      </c>
      <c r="C112">
        <v>1</v>
      </c>
    </row>
    <row r="113" spans="2:3" x14ac:dyDescent="0.3">
      <c r="B113" s="13" t="s">
        <v>69</v>
      </c>
      <c r="C113">
        <v>1</v>
      </c>
    </row>
    <row r="114" spans="2:3" x14ac:dyDescent="0.3">
      <c r="B114" s="13" t="s">
        <v>111</v>
      </c>
      <c r="C114">
        <v>1</v>
      </c>
    </row>
    <row r="115" spans="2:3" x14ac:dyDescent="0.3">
      <c r="B115" s="13" t="s">
        <v>122</v>
      </c>
      <c r="C115">
        <v>109</v>
      </c>
    </row>
  </sheetData>
  <conditionalFormatting sqref="C5">
    <cfRule type="cellIs" dxfId="8" priority="1" operator="greaterThan">
      <formula>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670ED-F831-4245-BAD5-A81916A56C6B}">
  <dimension ref="B2:H40"/>
  <sheetViews>
    <sheetView workbookViewId="0">
      <selection activeCell="W25" sqref="W25"/>
    </sheetView>
  </sheetViews>
  <sheetFormatPr defaultRowHeight="14.4" x14ac:dyDescent="0.3"/>
  <cols>
    <col min="2" max="2" width="22.88671875" bestFit="1" customWidth="1"/>
    <col min="3" max="4" width="14.77734375" bestFit="1" customWidth="1"/>
    <col min="5" max="5" width="23.109375" customWidth="1"/>
    <col min="6" max="6" width="21.109375" bestFit="1" customWidth="1"/>
    <col min="7" max="7" width="17.77734375" bestFit="1" customWidth="1"/>
    <col min="8" max="8" width="14.77734375" bestFit="1" customWidth="1"/>
    <col min="9" max="9" width="48.88671875" bestFit="1" customWidth="1"/>
    <col min="10" max="10" width="47.88671875" bestFit="1" customWidth="1"/>
    <col min="11" max="11" width="29.33203125" bestFit="1" customWidth="1"/>
    <col min="12" max="12" width="28.44140625" bestFit="1" customWidth="1"/>
    <col min="13" max="13" width="58.5546875" bestFit="1" customWidth="1"/>
    <col min="14" max="14" width="60.5546875" bestFit="1" customWidth="1"/>
    <col min="15" max="15" width="31.6640625" bestFit="1" customWidth="1"/>
    <col min="16" max="16" width="45.109375" bestFit="1" customWidth="1"/>
    <col min="17" max="17" width="39.5546875" bestFit="1" customWidth="1"/>
    <col min="18" max="18" width="64.6640625" bestFit="1" customWidth="1"/>
    <col min="19" max="19" width="59.44140625" bestFit="1" customWidth="1"/>
    <col min="20" max="20" width="62.44140625" bestFit="1" customWidth="1"/>
    <col min="21" max="21" width="50.44140625" bestFit="1" customWidth="1"/>
    <col min="22" max="22" width="36.5546875" bestFit="1" customWidth="1"/>
    <col min="23" max="23" width="57" bestFit="1" customWidth="1"/>
    <col min="24" max="24" width="66.88671875" bestFit="1" customWidth="1"/>
    <col min="25" max="25" width="52.88671875" bestFit="1" customWidth="1"/>
    <col min="26" max="26" width="44.88671875" bestFit="1" customWidth="1"/>
    <col min="27" max="27" width="38.109375" bestFit="1" customWidth="1"/>
    <col min="28" max="28" width="46.88671875" bestFit="1" customWidth="1"/>
    <col min="29" max="29" width="42.33203125" bestFit="1" customWidth="1"/>
    <col min="30" max="30" width="35.44140625" bestFit="1" customWidth="1"/>
    <col min="31" max="31" width="43.6640625" bestFit="1" customWidth="1"/>
    <col min="32" max="32" width="60.5546875" bestFit="1" customWidth="1"/>
    <col min="33" max="33" width="45.33203125" bestFit="1" customWidth="1"/>
    <col min="34" max="34" width="50.44140625" bestFit="1" customWidth="1"/>
    <col min="35" max="35" width="52" bestFit="1" customWidth="1"/>
    <col min="36" max="36" width="52.33203125" bestFit="1" customWidth="1"/>
    <col min="37" max="37" width="88.88671875" bestFit="1" customWidth="1"/>
    <col min="38" max="38" width="50.6640625" bestFit="1" customWidth="1"/>
    <col min="39" max="39" width="44.88671875" bestFit="1" customWidth="1"/>
    <col min="40" max="40" width="54" bestFit="1" customWidth="1"/>
    <col min="41" max="41" width="55.44140625" bestFit="1" customWidth="1"/>
    <col min="42" max="42" width="60.44140625" bestFit="1" customWidth="1"/>
    <col min="43" max="43" width="50.6640625" bestFit="1" customWidth="1"/>
    <col min="44" max="44" width="27.33203125" bestFit="1" customWidth="1"/>
    <col min="45" max="45" width="58.6640625" bestFit="1" customWidth="1"/>
    <col min="46" max="46" width="46.44140625" bestFit="1" customWidth="1"/>
    <col min="47" max="47" width="49.5546875" bestFit="1" customWidth="1"/>
    <col min="48" max="48" width="48" bestFit="1" customWidth="1"/>
    <col min="49" max="49" width="51.6640625" bestFit="1" customWidth="1"/>
    <col min="50" max="50" width="52.33203125" bestFit="1" customWidth="1"/>
    <col min="51" max="51" width="45.33203125" bestFit="1" customWidth="1"/>
    <col min="52" max="52" width="62.44140625" bestFit="1" customWidth="1"/>
    <col min="53" max="53" width="49.5546875" bestFit="1" customWidth="1"/>
    <col min="54" max="54" width="32.44140625" bestFit="1" customWidth="1"/>
    <col min="55" max="55" width="22.44140625" bestFit="1" customWidth="1"/>
    <col min="56" max="56" width="52.33203125" bestFit="1" customWidth="1"/>
    <col min="57" max="57" width="57.6640625" bestFit="1" customWidth="1"/>
    <col min="58" max="58" width="52.6640625" bestFit="1" customWidth="1"/>
    <col min="59" max="59" width="55.109375" bestFit="1" customWidth="1"/>
    <col min="60" max="60" width="49.109375" bestFit="1" customWidth="1"/>
    <col min="61" max="61" width="30.5546875" bestFit="1" customWidth="1"/>
    <col min="62" max="62" width="64.88671875" bestFit="1" customWidth="1"/>
    <col min="63" max="63" width="52.109375" bestFit="1" customWidth="1"/>
    <col min="64" max="64" width="49.33203125" bestFit="1" customWidth="1"/>
    <col min="65" max="65" width="64.6640625" bestFit="1" customWidth="1"/>
    <col min="66" max="66" width="66.88671875" bestFit="1" customWidth="1"/>
    <col min="67" max="67" width="35.33203125" bestFit="1" customWidth="1"/>
    <col min="68" max="68" width="35.44140625" bestFit="1" customWidth="1"/>
    <col min="69" max="69" width="25.88671875" bestFit="1" customWidth="1"/>
    <col min="70" max="70" width="68" bestFit="1" customWidth="1"/>
    <col min="71" max="71" width="30.5546875" bestFit="1" customWidth="1"/>
    <col min="72" max="72" width="52" bestFit="1" customWidth="1"/>
    <col min="73" max="73" width="62.6640625" bestFit="1" customWidth="1"/>
    <col min="74" max="74" width="46.44140625" bestFit="1" customWidth="1"/>
    <col min="75" max="75" width="39.109375" bestFit="1" customWidth="1"/>
    <col min="76" max="76" width="43.88671875" bestFit="1" customWidth="1"/>
    <col min="77" max="77" width="37.109375" bestFit="1" customWidth="1"/>
    <col min="78" max="78" width="33" bestFit="1" customWidth="1"/>
    <col min="79" max="79" width="54.6640625" bestFit="1" customWidth="1"/>
    <col min="80" max="80" width="65.44140625" bestFit="1" customWidth="1"/>
    <col min="81" max="81" width="70.109375" bestFit="1" customWidth="1"/>
    <col min="82" max="82" width="30.33203125" bestFit="1" customWidth="1"/>
    <col min="83" max="83" width="56.109375" bestFit="1" customWidth="1"/>
    <col min="84" max="84" width="52.44140625" bestFit="1" customWidth="1"/>
    <col min="85" max="85" width="67" bestFit="1" customWidth="1"/>
    <col min="86" max="86" width="67.44140625" bestFit="1" customWidth="1"/>
    <col min="87" max="87" width="44.88671875" bestFit="1" customWidth="1"/>
    <col min="88" max="88" width="42.33203125" bestFit="1" customWidth="1"/>
    <col min="89" max="89" width="49.88671875" bestFit="1" customWidth="1"/>
    <col min="90" max="90" width="43.6640625" bestFit="1" customWidth="1"/>
    <col min="91" max="91" width="64.33203125" bestFit="1" customWidth="1"/>
    <col min="92" max="92" width="67.6640625" bestFit="1" customWidth="1"/>
    <col min="93" max="93" width="67" bestFit="1" customWidth="1"/>
    <col min="94" max="94" width="55.33203125" bestFit="1" customWidth="1"/>
    <col min="95" max="95" width="43" bestFit="1" customWidth="1"/>
    <col min="96" max="96" width="51.109375" bestFit="1" customWidth="1"/>
    <col min="97" max="97" width="50.33203125" bestFit="1" customWidth="1"/>
    <col min="98" max="98" width="48.6640625" bestFit="1" customWidth="1"/>
    <col min="99" max="99" width="42.6640625" bestFit="1" customWidth="1"/>
    <col min="100" max="100" width="57.33203125" bestFit="1" customWidth="1"/>
    <col min="101" max="101" width="62.33203125" bestFit="1" customWidth="1"/>
    <col min="102" max="102" width="39.44140625" bestFit="1" customWidth="1"/>
    <col min="103" max="103" width="61" bestFit="1" customWidth="1"/>
    <col min="104" max="104" width="67" bestFit="1" customWidth="1"/>
    <col min="105" max="105" width="52.5546875" bestFit="1" customWidth="1"/>
    <col min="106" max="106" width="70.44140625" bestFit="1" customWidth="1"/>
    <col min="107" max="107" width="50.88671875" bestFit="1" customWidth="1"/>
    <col min="108" max="108" width="64" bestFit="1" customWidth="1"/>
    <col min="109" max="109" width="71.6640625" bestFit="1" customWidth="1"/>
    <col min="110" max="110" width="28.33203125" bestFit="1" customWidth="1"/>
    <col min="111" max="111" width="72.33203125" bestFit="1" customWidth="1"/>
    <col min="112" max="112" width="37.5546875" bestFit="1" customWidth="1"/>
    <col min="113" max="113" width="55" bestFit="1" customWidth="1"/>
    <col min="114" max="114" width="42.33203125" bestFit="1" customWidth="1"/>
    <col min="115" max="115" width="50.44140625" bestFit="1" customWidth="1"/>
    <col min="116" max="116" width="56.33203125" bestFit="1" customWidth="1"/>
    <col min="117" max="117" width="10.5546875" bestFit="1" customWidth="1"/>
  </cols>
  <sheetData>
    <row r="2" spans="2:5" s="2" customFormat="1" x14ac:dyDescent="0.3">
      <c r="B2" s="2" t="s">
        <v>123</v>
      </c>
    </row>
    <row r="3" spans="2:5" x14ac:dyDescent="0.3">
      <c r="B3" s="14">
        <f>AVERAGE(Table1[Current price])</f>
        <v>1209.9082568807339</v>
      </c>
    </row>
    <row r="5" spans="2:5" x14ac:dyDescent="0.3">
      <c r="B5" s="2" t="s">
        <v>124</v>
      </c>
    </row>
    <row r="6" spans="2:5" x14ac:dyDescent="0.3">
      <c r="B6" s="14">
        <f>AVERAGE(Table1[Old price])</f>
        <v>1842.3394495412845</v>
      </c>
    </row>
    <row r="8" spans="2:5" x14ac:dyDescent="0.3">
      <c r="B8" s="2" t="s">
        <v>125</v>
      </c>
    </row>
    <row r="9" spans="2:5" x14ac:dyDescent="0.3">
      <c r="B9" s="15">
        <f>AVERAGE(Table1[Discount])</f>
        <v>0.36385321100917456</v>
      </c>
    </row>
    <row r="11" spans="2:5" x14ac:dyDescent="0.3">
      <c r="B11" s="2" t="s">
        <v>126</v>
      </c>
    </row>
    <row r="12" spans="2:5" x14ac:dyDescent="0.3">
      <c r="B12" s="16">
        <f>AVERAGEIF(Table1[Rating (out of 5)], "&lt;&gt;No Rating")</f>
        <v>3.8894736842105253</v>
      </c>
    </row>
    <row r="14" spans="2:5" x14ac:dyDescent="0.3">
      <c r="B14" s="2" t="s">
        <v>127</v>
      </c>
    </row>
    <row r="15" spans="2:5" x14ac:dyDescent="0.3">
      <c r="B15" s="3">
        <f>MAX(Table1[Current price])</f>
        <v>3750</v>
      </c>
      <c r="C15" s="20" t="str">
        <f>_xlfn.XLOOKUP(B15,Table1[Current price],Table1[Product],"Not Found")</f>
        <v>32PCS Portable Cordless Drill Set With Cyclic Battery Drive -26 Variable Speed</v>
      </c>
      <c r="D15" s="20"/>
      <c r="E15" s="20"/>
    </row>
    <row r="18" spans="2:8" x14ac:dyDescent="0.3">
      <c r="B18" s="2" t="s">
        <v>128</v>
      </c>
    </row>
    <row r="19" spans="2:8" x14ac:dyDescent="0.3">
      <c r="B19" s="3">
        <f>MIN(Table1[Current price])</f>
        <v>38</v>
      </c>
      <c r="C19" s="20" t="str">
        <f>_xlfn.XLOOKUP(B19,Table1[Current price],Table1[Product],"Not Found")</f>
        <v>3PCS Single Head Knitting Crochet Sweater Needle Set</v>
      </c>
      <c r="D19" s="20"/>
      <c r="E19" s="20"/>
    </row>
    <row r="24" spans="2:8" x14ac:dyDescent="0.3">
      <c r="G24" s="12" t="s">
        <v>129</v>
      </c>
      <c r="H24" t="s">
        <v>121</v>
      </c>
    </row>
    <row r="25" spans="2:8" x14ac:dyDescent="0.3">
      <c r="B25" s="12" t="s">
        <v>130</v>
      </c>
      <c r="C25" t="s">
        <v>121</v>
      </c>
      <c r="G25" s="13" t="s">
        <v>131</v>
      </c>
      <c r="H25">
        <v>22</v>
      </c>
    </row>
    <row r="26" spans="2:8" x14ac:dyDescent="0.3">
      <c r="B26" s="13" t="s">
        <v>132</v>
      </c>
      <c r="C26">
        <v>59</v>
      </c>
      <c r="G26" s="13" t="s">
        <v>133</v>
      </c>
      <c r="H26">
        <v>23</v>
      </c>
    </row>
    <row r="27" spans="2:8" x14ac:dyDescent="0.3">
      <c r="B27" s="13" t="s">
        <v>134</v>
      </c>
      <c r="C27">
        <v>18</v>
      </c>
      <c r="G27" s="13" t="s">
        <v>153</v>
      </c>
      <c r="H27">
        <v>52</v>
      </c>
    </row>
    <row r="28" spans="2:8" x14ac:dyDescent="0.3">
      <c r="B28" s="13" t="s">
        <v>136</v>
      </c>
      <c r="C28">
        <v>32</v>
      </c>
      <c r="G28" s="13" t="s">
        <v>135</v>
      </c>
      <c r="H28">
        <v>12</v>
      </c>
    </row>
    <row r="29" spans="2:8" x14ac:dyDescent="0.3">
      <c r="B29" s="13" t="s">
        <v>122</v>
      </c>
      <c r="C29">
        <v>109</v>
      </c>
      <c r="G29" s="13" t="s">
        <v>122</v>
      </c>
      <c r="H29">
        <v>109</v>
      </c>
    </row>
    <row r="32" spans="2:8" x14ac:dyDescent="0.3">
      <c r="B32" t="s">
        <v>156</v>
      </c>
      <c r="D32" t="s">
        <v>121</v>
      </c>
    </row>
    <row r="33" spans="2:4" x14ac:dyDescent="0.3">
      <c r="B33" s="3">
        <v>1209.9082568807339</v>
      </c>
      <c r="D33">
        <v>109</v>
      </c>
    </row>
    <row r="36" spans="2:4" x14ac:dyDescent="0.3">
      <c r="B36" t="s">
        <v>157</v>
      </c>
      <c r="D36" t="s">
        <v>139</v>
      </c>
    </row>
    <row r="37" spans="2:4" x14ac:dyDescent="0.3">
      <c r="B37" s="1">
        <v>0.36385321100917456</v>
      </c>
      <c r="D37">
        <v>723</v>
      </c>
    </row>
    <row r="39" spans="2:4" x14ac:dyDescent="0.3">
      <c r="B39" t="s">
        <v>158</v>
      </c>
    </row>
    <row r="40" spans="2:4" x14ac:dyDescent="0.3">
      <c r="B40" s="11">
        <v>3.8894736842105253</v>
      </c>
    </row>
  </sheetData>
  <mergeCells count="2">
    <mergeCell ref="C15:E15"/>
    <mergeCell ref="C19:E19"/>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9F7E9-EFED-47D7-A351-BFDDEDD04949}">
  <dimension ref="B5:V53"/>
  <sheetViews>
    <sheetView topLeftCell="A10" zoomScale="90" zoomScaleNormal="90" workbookViewId="0">
      <selection activeCell="B5" sqref="B5"/>
    </sheetView>
  </sheetViews>
  <sheetFormatPr defaultRowHeight="14.4" x14ac:dyDescent="0.3"/>
  <cols>
    <col min="2" max="2" width="21.88671875" bestFit="1" customWidth="1"/>
    <col min="3" max="3" width="15" bestFit="1" customWidth="1"/>
    <col min="5" max="5" width="62.109375" bestFit="1" customWidth="1"/>
    <col min="6" max="6" width="13.5546875" bestFit="1" customWidth="1"/>
  </cols>
  <sheetData>
    <row r="5" spans="2:22" x14ac:dyDescent="0.3">
      <c r="B5" s="12" t="s">
        <v>137</v>
      </c>
      <c r="C5" t="s">
        <v>138</v>
      </c>
      <c r="E5" s="12" t="s">
        <v>7</v>
      </c>
      <c r="F5" t="s">
        <v>139</v>
      </c>
      <c r="P5" s="21" t="s">
        <v>140</v>
      </c>
      <c r="Q5" s="21"/>
      <c r="R5" s="21"/>
      <c r="S5" s="21"/>
      <c r="T5" s="21"/>
      <c r="U5" s="21"/>
      <c r="V5" s="21"/>
    </row>
    <row r="6" spans="2:22" x14ac:dyDescent="0.3">
      <c r="B6" s="17">
        <v>0.01</v>
      </c>
      <c r="C6">
        <v>0</v>
      </c>
      <c r="E6" s="13">
        <v>2</v>
      </c>
      <c r="F6">
        <v>1</v>
      </c>
      <c r="P6" s="21"/>
      <c r="Q6" s="21"/>
      <c r="R6" s="21"/>
      <c r="S6" s="21"/>
      <c r="T6" s="21"/>
      <c r="U6" s="21"/>
      <c r="V6" s="21"/>
    </row>
    <row r="7" spans="2:22" x14ac:dyDescent="0.3">
      <c r="B7" s="17">
        <v>0.02</v>
      </c>
      <c r="C7">
        <v>0</v>
      </c>
      <c r="E7" s="13">
        <v>2.1</v>
      </c>
      <c r="F7">
        <v>20</v>
      </c>
      <c r="P7" s="21"/>
      <c r="Q7" s="21"/>
      <c r="R7" s="21"/>
      <c r="S7" s="21"/>
      <c r="T7" s="21"/>
      <c r="U7" s="21"/>
      <c r="V7" s="21"/>
    </row>
    <row r="8" spans="2:22" x14ac:dyDescent="0.3">
      <c r="B8" s="17">
        <v>0.03</v>
      </c>
      <c r="C8">
        <v>0</v>
      </c>
      <c r="E8" s="13">
        <v>2.2000000000000002</v>
      </c>
      <c r="F8">
        <v>12</v>
      </c>
      <c r="P8" s="21"/>
      <c r="Q8" s="21"/>
      <c r="R8" s="21"/>
      <c r="S8" s="21"/>
      <c r="T8" s="21"/>
      <c r="U8" s="21"/>
      <c r="V8" s="21"/>
    </row>
    <row r="9" spans="2:22" x14ac:dyDescent="0.3">
      <c r="B9" s="17">
        <v>0.04</v>
      </c>
      <c r="C9">
        <v>0</v>
      </c>
      <c r="E9" s="13">
        <v>2.2999999999999998</v>
      </c>
      <c r="F9">
        <v>13</v>
      </c>
      <c r="P9" s="21"/>
      <c r="Q9" s="21"/>
      <c r="R9" s="21"/>
      <c r="S9" s="21"/>
      <c r="T9" s="21"/>
      <c r="U9" s="21"/>
      <c r="V9" s="21"/>
    </row>
    <row r="10" spans="2:22" x14ac:dyDescent="0.3">
      <c r="B10" s="17">
        <v>0.08</v>
      </c>
      <c r="C10">
        <v>0</v>
      </c>
      <c r="E10" s="13">
        <v>2.5</v>
      </c>
      <c r="F10">
        <v>6</v>
      </c>
      <c r="P10" s="21"/>
      <c r="Q10" s="21"/>
      <c r="R10" s="21"/>
      <c r="S10" s="21"/>
      <c r="T10" s="21"/>
      <c r="U10" s="21"/>
      <c r="V10" s="21"/>
    </row>
    <row r="11" spans="2:22" x14ac:dyDescent="0.3">
      <c r="B11" s="17">
        <v>0.09</v>
      </c>
      <c r="C11">
        <v>15</v>
      </c>
      <c r="E11" s="13">
        <v>2.6</v>
      </c>
      <c r="F11">
        <v>17</v>
      </c>
      <c r="P11" s="21"/>
      <c r="Q11" s="21"/>
      <c r="R11" s="21"/>
      <c r="S11" s="21"/>
      <c r="T11" s="21"/>
      <c r="U11" s="21"/>
      <c r="V11" s="21"/>
    </row>
    <row r="12" spans="2:22" x14ac:dyDescent="0.3">
      <c r="B12" s="17">
        <v>0.11</v>
      </c>
      <c r="C12">
        <v>0</v>
      </c>
      <c r="E12" s="13">
        <v>2.7</v>
      </c>
      <c r="F12">
        <v>15</v>
      </c>
      <c r="P12" s="21"/>
      <c r="Q12" s="21"/>
      <c r="R12" s="21"/>
      <c r="S12" s="21"/>
      <c r="T12" s="21"/>
      <c r="U12" s="21"/>
      <c r="V12" s="21"/>
    </row>
    <row r="13" spans="2:22" x14ac:dyDescent="0.3">
      <c r="B13" s="17">
        <v>0.13</v>
      </c>
      <c r="C13">
        <v>6</v>
      </c>
      <c r="E13" s="13">
        <v>2.8</v>
      </c>
      <c r="F13">
        <v>69</v>
      </c>
    </row>
    <row r="14" spans="2:22" x14ac:dyDescent="0.3">
      <c r="B14" s="17">
        <v>0.14000000000000001</v>
      </c>
      <c r="C14">
        <v>0</v>
      </c>
      <c r="E14" s="13">
        <v>2.9</v>
      </c>
      <c r="F14">
        <v>16</v>
      </c>
    </row>
    <row r="15" spans="2:22" x14ac:dyDescent="0.3">
      <c r="B15" s="17">
        <v>0.18</v>
      </c>
      <c r="C15">
        <v>12</v>
      </c>
      <c r="E15" s="13">
        <v>3</v>
      </c>
      <c r="F15">
        <v>26</v>
      </c>
    </row>
    <row r="16" spans="2:22" x14ac:dyDescent="0.3">
      <c r="B16" s="17">
        <v>0.19</v>
      </c>
      <c r="C16">
        <v>5</v>
      </c>
      <c r="E16" s="13">
        <v>3.3</v>
      </c>
      <c r="F16">
        <v>13</v>
      </c>
    </row>
    <row r="17" spans="2:22" x14ac:dyDescent="0.3">
      <c r="B17" s="17">
        <v>0.2</v>
      </c>
      <c r="C17">
        <v>12</v>
      </c>
      <c r="E17" s="13">
        <v>3.8</v>
      </c>
      <c r="F17">
        <v>30</v>
      </c>
    </row>
    <row r="18" spans="2:22" x14ac:dyDescent="0.3">
      <c r="B18" s="17">
        <v>0.21</v>
      </c>
      <c r="C18">
        <v>1</v>
      </c>
      <c r="E18" s="13">
        <v>4</v>
      </c>
      <c r="F18">
        <v>24</v>
      </c>
    </row>
    <row r="19" spans="2:22" x14ac:dyDescent="0.3">
      <c r="B19" s="17">
        <v>0.22</v>
      </c>
      <c r="C19">
        <v>16</v>
      </c>
      <c r="E19" s="13">
        <v>4.0999999999999996</v>
      </c>
      <c r="F19">
        <v>46</v>
      </c>
    </row>
    <row r="20" spans="2:22" ht="14.4" customHeight="1" x14ac:dyDescent="0.3">
      <c r="B20" s="17">
        <v>0.23</v>
      </c>
      <c r="C20">
        <v>14</v>
      </c>
      <c r="E20" s="13">
        <v>4.2</v>
      </c>
      <c r="F20">
        <v>9</v>
      </c>
      <c r="H20" t="s">
        <v>141</v>
      </c>
      <c r="I20" s="18"/>
      <c r="J20" s="18"/>
      <c r="K20" s="18"/>
      <c r="L20" s="18"/>
      <c r="M20" s="18"/>
      <c r="N20" s="18"/>
    </row>
    <row r="21" spans="2:22" x14ac:dyDescent="0.3">
      <c r="B21" s="17">
        <v>0.24</v>
      </c>
      <c r="C21">
        <v>55</v>
      </c>
      <c r="E21" s="13">
        <v>4.3</v>
      </c>
      <c r="F21">
        <v>61</v>
      </c>
      <c r="H21" s="18"/>
      <c r="I21" s="18"/>
      <c r="J21" s="18"/>
      <c r="K21" s="18"/>
      <c r="L21" s="18"/>
      <c r="M21" s="18"/>
      <c r="N21" s="18"/>
    </row>
    <row r="22" spans="2:22" x14ac:dyDescent="0.3">
      <c r="B22" s="17">
        <v>0.25</v>
      </c>
      <c r="C22">
        <v>24</v>
      </c>
      <c r="E22" s="13">
        <v>4.4000000000000004</v>
      </c>
      <c r="F22">
        <v>14</v>
      </c>
      <c r="H22" s="18"/>
      <c r="I22" s="18"/>
      <c r="J22" s="18"/>
      <c r="K22" s="18"/>
      <c r="L22" s="18"/>
      <c r="M22" s="18"/>
      <c r="N22" s="18"/>
    </row>
    <row r="23" spans="2:22" x14ac:dyDescent="0.3">
      <c r="B23" s="17">
        <v>0.26</v>
      </c>
      <c r="C23">
        <v>5</v>
      </c>
      <c r="E23" s="13">
        <v>4.5</v>
      </c>
      <c r="F23">
        <v>42</v>
      </c>
      <c r="P23" s="21" t="s">
        <v>142</v>
      </c>
      <c r="Q23" s="21"/>
      <c r="R23" s="21"/>
      <c r="S23" s="21"/>
      <c r="T23" s="21"/>
      <c r="U23" s="21"/>
      <c r="V23" s="21"/>
    </row>
    <row r="24" spans="2:22" x14ac:dyDescent="0.3">
      <c r="B24" s="17">
        <v>0.27</v>
      </c>
      <c r="C24">
        <v>52</v>
      </c>
      <c r="E24" s="13">
        <v>4.5999999999999996</v>
      </c>
      <c r="F24">
        <v>177</v>
      </c>
      <c r="P24" s="21"/>
      <c r="Q24" s="21"/>
      <c r="R24" s="21"/>
      <c r="S24" s="21"/>
      <c r="T24" s="21"/>
      <c r="U24" s="21"/>
      <c r="V24" s="21"/>
    </row>
    <row r="25" spans="2:22" x14ac:dyDescent="0.3">
      <c r="B25" s="17">
        <v>0.28999999999999998</v>
      </c>
      <c r="C25">
        <v>5</v>
      </c>
      <c r="E25" s="13">
        <v>4.7</v>
      </c>
      <c r="F25">
        <v>78</v>
      </c>
      <c r="P25" s="21"/>
      <c r="Q25" s="21"/>
      <c r="R25" s="21"/>
      <c r="S25" s="21"/>
      <c r="T25" s="21"/>
      <c r="U25" s="21"/>
      <c r="V25" s="21"/>
    </row>
    <row r="26" spans="2:22" x14ac:dyDescent="0.3">
      <c r="B26" s="17">
        <v>0.3</v>
      </c>
      <c r="C26">
        <v>20</v>
      </c>
      <c r="E26" s="13">
        <v>4.8</v>
      </c>
      <c r="F26">
        <v>22</v>
      </c>
      <c r="P26" s="21"/>
      <c r="Q26" s="21"/>
      <c r="R26" s="21"/>
      <c r="S26" s="21"/>
      <c r="T26" s="21"/>
      <c r="U26" s="21"/>
      <c r="V26" s="21"/>
    </row>
    <row r="27" spans="2:22" x14ac:dyDescent="0.3">
      <c r="B27" s="17">
        <v>0.32</v>
      </c>
      <c r="C27">
        <v>13</v>
      </c>
      <c r="E27" s="13">
        <v>5</v>
      </c>
      <c r="F27">
        <v>12</v>
      </c>
      <c r="P27" s="21"/>
      <c r="Q27" s="21"/>
      <c r="R27" s="21"/>
      <c r="S27" s="21"/>
      <c r="T27" s="21"/>
      <c r="U27" s="21"/>
      <c r="V27" s="21"/>
    </row>
    <row r="28" spans="2:22" x14ac:dyDescent="0.3">
      <c r="B28" s="17">
        <v>0.33</v>
      </c>
      <c r="C28">
        <v>9</v>
      </c>
      <c r="E28" s="13" t="s">
        <v>122</v>
      </c>
      <c r="F28">
        <v>723</v>
      </c>
      <c r="P28" s="21"/>
      <c r="Q28" s="21"/>
      <c r="R28" s="21"/>
      <c r="S28" s="21"/>
      <c r="T28" s="21"/>
      <c r="U28" s="21"/>
      <c r="V28" s="21"/>
    </row>
    <row r="29" spans="2:22" x14ac:dyDescent="0.3">
      <c r="B29" s="17">
        <v>0.34</v>
      </c>
      <c r="C29">
        <v>51</v>
      </c>
      <c r="P29" s="21"/>
      <c r="Q29" s="21"/>
      <c r="R29" s="21"/>
      <c r="S29" s="21"/>
      <c r="T29" s="21"/>
      <c r="U29" s="21"/>
      <c r="V29" s="21"/>
    </row>
    <row r="30" spans="2:22" x14ac:dyDescent="0.3">
      <c r="B30" s="17">
        <v>0.35</v>
      </c>
      <c r="C30">
        <v>55</v>
      </c>
      <c r="P30" s="21"/>
      <c r="Q30" s="21"/>
      <c r="R30" s="21"/>
      <c r="S30" s="21"/>
      <c r="T30" s="21"/>
      <c r="U30" s="21"/>
      <c r="V30" s="21"/>
    </row>
    <row r="31" spans="2:22" x14ac:dyDescent="0.3">
      <c r="B31" s="17">
        <v>0.36</v>
      </c>
      <c r="C31">
        <v>0</v>
      </c>
    </row>
    <row r="32" spans="2:22" x14ac:dyDescent="0.3">
      <c r="B32" s="17">
        <v>0.37</v>
      </c>
      <c r="C32">
        <v>9</v>
      </c>
    </row>
    <row r="33" spans="2:6" x14ac:dyDescent="0.3">
      <c r="B33" s="17">
        <v>0.38</v>
      </c>
      <c r="C33">
        <v>4</v>
      </c>
    </row>
    <row r="34" spans="2:6" x14ac:dyDescent="0.3">
      <c r="B34" s="17">
        <v>0.39</v>
      </c>
      <c r="C34">
        <v>5</v>
      </c>
    </row>
    <row r="35" spans="2:6" x14ac:dyDescent="0.3">
      <c r="B35" s="17">
        <v>0.4</v>
      </c>
      <c r="C35">
        <v>1</v>
      </c>
    </row>
    <row r="36" spans="2:6" x14ac:dyDescent="0.3">
      <c r="B36" s="17">
        <v>0.41</v>
      </c>
      <c r="C36">
        <v>36</v>
      </c>
    </row>
    <row r="37" spans="2:6" x14ac:dyDescent="0.3">
      <c r="B37" s="17">
        <v>0.42</v>
      </c>
      <c r="C37">
        <v>6</v>
      </c>
    </row>
    <row r="38" spans="2:6" x14ac:dyDescent="0.3">
      <c r="B38" s="17">
        <v>0.43</v>
      </c>
      <c r="C38">
        <v>11</v>
      </c>
    </row>
    <row r="39" spans="2:6" x14ac:dyDescent="0.3">
      <c r="B39" s="17">
        <v>0.45</v>
      </c>
      <c r="C39">
        <v>28</v>
      </c>
    </row>
    <row r="40" spans="2:6" x14ac:dyDescent="0.3">
      <c r="B40" s="17">
        <v>0.46</v>
      </c>
      <c r="C40">
        <v>3</v>
      </c>
    </row>
    <row r="41" spans="2:6" x14ac:dyDescent="0.3">
      <c r="B41" s="17">
        <v>0.47</v>
      </c>
      <c r="C41">
        <v>39</v>
      </c>
    </row>
    <row r="42" spans="2:6" x14ac:dyDescent="0.3">
      <c r="B42" s="17">
        <v>0.48</v>
      </c>
      <c r="C42">
        <v>9</v>
      </c>
    </row>
    <row r="43" spans="2:6" x14ac:dyDescent="0.3">
      <c r="B43" s="17">
        <v>0.49</v>
      </c>
      <c r="C43">
        <v>118</v>
      </c>
      <c r="E43" s="12" t="s">
        <v>154</v>
      </c>
      <c r="F43" t="s">
        <v>155</v>
      </c>
    </row>
    <row r="44" spans="2:6" x14ac:dyDescent="0.3">
      <c r="B44" s="17">
        <v>0.5</v>
      </c>
      <c r="C44">
        <v>8</v>
      </c>
      <c r="E44" s="13" t="s">
        <v>35</v>
      </c>
      <c r="F44">
        <v>20</v>
      </c>
    </row>
    <row r="45" spans="2:6" x14ac:dyDescent="0.3">
      <c r="B45" s="17">
        <v>0.51</v>
      </c>
      <c r="C45">
        <v>2</v>
      </c>
      <c r="E45" s="13" t="s">
        <v>55</v>
      </c>
      <c r="F45">
        <v>20</v>
      </c>
    </row>
    <row r="46" spans="2:6" x14ac:dyDescent="0.3">
      <c r="B46" s="17">
        <v>0.52</v>
      </c>
      <c r="C46">
        <v>24</v>
      </c>
      <c r="E46" s="13" t="s">
        <v>49</v>
      </c>
      <c r="F46">
        <v>24</v>
      </c>
    </row>
    <row r="47" spans="2:6" x14ac:dyDescent="0.3">
      <c r="B47" s="17">
        <v>0.53</v>
      </c>
      <c r="C47">
        <v>15</v>
      </c>
      <c r="E47" s="13" t="s">
        <v>46</v>
      </c>
      <c r="F47">
        <v>32</v>
      </c>
    </row>
    <row r="48" spans="2:6" x14ac:dyDescent="0.3">
      <c r="B48" s="17">
        <v>0.54</v>
      </c>
      <c r="C48">
        <v>17</v>
      </c>
      <c r="E48" s="13" t="s">
        <v>41</v>
      </c>
      <c r="F48">
        <v>36</v>
      </c>
    </row>
    <row r="49" spans="2:6" x14ac:dyDescent="0.3">
      <c r="B49" s="17">
        <v>0.55000000000000004</v>
      </c>
      <c r="C49">
        <v>18</v>
      </c>
      <c r="E49" s="13" t="s">
        <v>53</v>
      </c>
      <c r="F49">
        <v>39</v>
      </c>
    </row>
    <row r="50" spans="2:6" x14ac:dyDescent="0.3">
      <c r="B50" s="17">
        <v>0.61</v>
      </c>
      <c r="C50">
        <v>0</v>
      </c>
      <c r="E50" s="13" t="s">
        <v>47</v>
      </c>
      <c r="F50">
        <v>44</v>
      </c>
    </row>
    <row r="51" spans="2:6" x14ac:dyDescent="0.3">
      <c r="B51" s="17">
        <v>0.64</v>
      </c>
      <c r="C51">
        <v>0</v>
      </c>
      <c r="E51" s="13" t="s">
        <v>48</v>
      </c>
      <c r="F51">
        <v>49</v>
      </c>
    </row>
    <row r="52" spans="2:6" x14ac:dyDescent="0.3">
      <c r="B52" s="17" t="s">
        <v>122</v>
      </c>
      <c r="C52">
        <v>723</v>
      </c>
      <c r="E52" s="13" t="s">
        <v>50</v>
      </c>
      <c r="F52">
        <v>55</v>
      </c>
    </row>
    <row r="53" spans="2:6" x14ac:dyDescent="0.3">
      <c r="E53" s="13" t="s">
        <v>19</v>
      </c>
      <c r="F53">
        <v>69</v>
      </c>
    </row>
  </sheetData>
  <mergeCells count="2">
    <mergeCell ref="P5:V12"/>
    <mergeCell ref="P23:V30"/>
  </mergeCells>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407C9-2BFD-4DCE-948F-4CBE3B5583FD}">
  <dimension ref="B5:C68"/>
  <sheetViews>
    <sheetView topLeftCell="A31" workbookViewId="0">
      <selection activeCell="B5" sqref="B5"/>
    </sheetView>
  </sheetViews>
  <sheetFormatPr defaultRowHeight="14.4" x14ac:dyDescent="0.3"/>
  <cols>
    <col min="2" max="2" width="62.77734375" bestFit="1" customWidth="1"/>
    <col min="3" max="3" width="20.88671875" bestFit="1" customWidth="1"/>
    <col min="4" max="4" width="13.5546875" bestFit="1" customWidth="1"/>
  </cols>
  <sheetData>
    <row r="5" spans="2:3" x14ac:dyDescent="0.3">
      <c r="B5" s="12" t="s">
        <v>143</v>
      </c>
      <c r="C5" t="s">
        <v>144</v>
      </c>
    </row>
    <row r="6" spans="2:3" x14ac:dyDescent="0.3">
      <c r="B6" s="13" t="s">
        <v>10</v>
      </c>
      <c r="C6" s="3">
        <v>2585</v>
      </c>
    </row>
    <row r="7" spans="2:3" x14ac:dyDescent="0.3">
      <c r="B7" s="13" t="s">
        <v>38</v>
      </c>
      <c r="C7" s="3">
        <v>2452</v>
      </c>
    </row>
    <row r="8" spans="2:3" x14ac:dyDescent="0.3">
      <c r="B8" s="13" t="s">
        <v>24</v>
      </c>
      <c r="C8" s="3">
        <v>2393</v>
      </c>
    </row>
    <row r="9" spans="2:3" x14ac:dyDescent="0.3">
      <c r="B9" s="13" t="s">
        <v>61</v>
      </c>
      <c r="C9" s="3">
        <v>1946</v>
      </c>
    </row>
    <row r="10" spans="2:3" x14ac:dyDescent="0.3">
      <c r="B10" s="13" t="s">
        <v>88</v>
      </c>
      <c r="C10" s="3">
        <v>1880</v>
      </c>
    </row>
    <row r="11" spans="2:3" x14ac:dyDescent="0.3">
      <c r="B11" s="13" t="s">
        <v>97</v>
      </c>
      <c r="C11" s="3">
        <v>1721</v>
      </c>
    </row>
    <row r="12" spans="2:3" x14ac:dyDescent="0.3">
      <c r="B12" s="13" t="s">
        <v>40</v>
      </c>
      <c r="C12" s="3">
        <v>1670</v>
      </c>
    </row>
    <row r="13" spans="2:3" x14ac:dyDescent="0.3">
      <c r="B13" s="13" t="s">
        <v>56</v>
      </c>
      <c r="C13" s="3">
        <v>1526</v>
      </c>
    </row>
    <row r="14" spans="2:3" x14ac:dyDescent="0.3">
      <c r="B14" s="13" t="s">
        <v>11</v>
      </c>
      <c r="C14" s="3">
        <v>1418</v>
      </c>
    </row>
    <row r="15" spans="2:3" x14ac:dyDescent="0.3">
      <c r="B15" s="13" t="s">
        <v>92</v>
      </c>
      <c r="C15" s="3">
        <v>1360</v>
      </c>
    </row>
    <row r="16" spans="2:3" x14ac:dyDescent="0.3">
      <c r="B16" s="13" t="s">
        <v>122</v>
      </c>
      <c r="C16" s="3">
        <v>18951</v>
      </c>
    </row>
    <row r="21" spans="2:3" x14ac:dyDescent="0.3">
      <c r="B21" s="12" t="s">
        <v>145</v>
      </c>
      <c r="C21" t="s">
        <v>146</v>
      </c>
    </row>
    <row r="22" spans="2:3" x14ac:dyDescent="0.3">
      <c r="B22" s="13" t="s">
        <v>66</v>
      </c>
      <c r="C22" s="1">
        <v>0.64</v>
      </c>
    </row>
    <row r="23" spans="2:3" x14ac:dyDescent="0.3">
      <c r="B23" s="13" t="s">
        <v>69</v>
      </c>
      <c r="C23" s="1">
        <v>0.61</v>
      </c>
    </row>
    <row r="24" spans="2:3" x14ac:dyDescent="0.3">
      <c r="B24" s="13" t="s">
        <v>56</v>
      </c>
      <c r="C24" s="1">
        <v>0.55000000000000004</v>
      </c>
    </row>
    <row r="25" spans="2:3" x14ac:dyDescent="0.3">
      <c r="B25" s="13" t="s">
        <v>10</v>
      </c>
      <c r="C25" s="1">
        <v>0.55000000000000004</v>
      </c>
    </row>
    <row r="26" spans="2:3" x14ac:dyDescent="0.3">
      <c r="B26" s="13" t="s">
        <v>38</v>
      </c>
      <c r="C26" s="1">
        <v>0.54</v>
      </c>
    </row>
    <row r="27" spans="2:3" x14ac:dyDescent="0.3">
      <c r="B27" s="13" t="s">
        <v>21</v>
      </c>
      <c r="C27" s="1">
        <v>0.54</v>
      </c>
    </row>
    <row r="28" spans="2:3" x14ac:dyDescent="0.3">
      <c r="B28" s="13" t="s">
        <v>59</v>
      </c>
      <c r="C28" s="1">
        <v>0.53</v>
      </c>
    </row>
    <row r="29" spans="2:3" x14ac:dyDescent="0.3">
      <c r="B29" s="13" t="s">
        <v>26</v>
      </c>
      <c r="C29" s="1">
        <v>0.53</v>
      </c>
    </row>
    <row r="30" spans="2:3" x14ac:dyDescent="0.3">
      <c r="B30" s="13" t="s">
        <v>18</v>
      </c>
      <c r="C30" s="1">
        <v>0.52</v>
      </c>
    </row>
    <row r="31" spans="2:3" x14ac:dyDescent="0.3">
      <c r="B31" s="13" t="s">
        <v>39</v>
      </c>
      <c r="C31" s="1">
        <v>0.52</v>
      </c>
    </row>
    <row r="37" spans="2:3" x14ac:dyDescent="0.3">
      <c r="B37" s="12" t="s">
        <v>147</v>
      </c>
      <c r="C37" t="s">
        <v>148</v>
      </c>
    </row>
    <row r="38" spans="2:3" x14ac:dyDescent="0.3">
      <c r="B38" s="13" t="s">
        <v>60</v>
      </c>
      <c r="C38">
        <v>5</v>
      </c>
    </row>
    <row r="39" spans="2:3" x14ac:dyDescent="0.3">
      <c r="B39" s="13" t="s">
        <v>62</v>
      </c>
      <c r="C39">
        <v>5</v>
      </c>
    </row>
    <row r="40" spans="2:3" x14ac:dyDescent="0.3">
      <c r="B40" s="13" t="s">
        <v>59</v>
      </c>
      <c r="C40">
        <v>5</v>
      </c>
    </row>
    <row r="41" spans="2:3" x14ac:dyDescent="0.3">
      <c r="B41" s="13" t="s">
        <v>64</v>
      </c>
      <c r="C41">
        <v>5</v>
      </c>
    </row>
    <row r="42" spans="2:3" x14ac:dyDescent="0.3">
      <c r="B42" s="13" t="s">
        <v>65</v>
      </c>
      <c r="C42">
        <v>5</v>
      </c>
    </row>
    <row r="43" spans="2:3" x14ac:dyDescent="0.3">
      <c r="B43" s="13" t="s">
        <v>61</v>
      </c>
      <c r="C43">
        <v>5</v>
      </c>
    </row>
    <row r="44" spans="2:3" x14ac:dyDescent="0.3">
      <c r="B44" s="13" t="s">
        <v>63</v>
      </c>
      <c r="C44">
        <v>5</v>
      </c>
    </row>
    <row r="48" spans="2:3" x14ac:dyDescent="0.3">
      <c r="B48" s="12" t="s">
        <v>149</v>
      </c>
      <c r="C48" t="s">
        <v>148</v>
      </c>
    </row>
    <row r="49" spans="2:3" x14ac:dyDescent="0.3">
      <c r="B49" s="13" t="s">
        <v>9</v>
      </c>
      <c r="C49">
        <v>2</v>
      </c>
    </row>
    <row r="50" spans="2:3" x14ac:dyDescent="0.3">
      <c r="B50" s="13" t="s">
        <v>10</v>
      </c>
      <c r="C50">
        <v>2.1</v>
      </c>
    </row>
    <row r="51" spans="2:3" x14ac:dyDescent="0.3">
      <c r="B51" s="13" t="s">
        <v>11</v>
      </c>
      <c r="C51">
        <v>2.1</v>
      </c>
    </row>
    <row r="52" spans="2:3" x14ac:dyDescent="0.3">
      <c r="B52" s="13" t="s">
        <v>13</v>
      </c>
      <c r="C52">
        <v>2.2000000000000002</v>
      </c>
    </row>
    <row r="53" spans="2:3" x14ac:dyDescent="0.3">
      <c r="B53" s="13" t="s">
        <v>12</v>
      </c>
      <c r="C53">
        <v>2.2000000000000002</v>
      </c>
    </row>
    <row r="58" spans="2:3" x14ac:dyDescent="0.3">
      <c r="B58" s="12" t="s">
        <v>152</v>
      </c>
      <c r="C58" t="s">
        <v>148</v>
      </c>
    </row>
    <row r="59" spans="2:3" x14ac:dyDescent="0.3">
      <c r="B59" s="13" t="s">
        <v>59</v>
      </c>
      <c r="C59">
        <v>5</v>
      </c>
    </row>
    <row r="60" spans="2:3" x14ac:dyDescent="0.3">
      <c r="B60" s="13" t="s">
        <v>61</v>
      </c>
      <c r="C60">
        <v>5</v>
      </c>
    </row>
    <row r="61" spans="2:3" x14ac:dyDescent="0.3">
      <c r="B61" s="13" t="s">
        <v>65</v>
      </c>
      <c r="C61">
        <v>5</v>
      </c>
    </row>
    <row r="62" spans="2:3" x14ac:dyDescent="0.3">
      <c r="B62" s="13" t="s">
        <v>60</v>
      </c>
      <c r="C62">
        <v>5</v>
      </c>
    </row>
    <row r="63" spans="2:3" x14ac:dyDescent="0.3">
      <c r="B63" s="13" t="s">
        <v>63</v>
      </c>
      <c r="C63">
        <v>5</v>
      </c>
    </row>
    <row r="64" spans="2:3" x14ac:dyDescent="0.3">
      <c r="B64" s="13" t="s">
        <v>62</v>
      </c>
      <c r="C64">
        <v>5</v>
      </c>
    </row>
    <row r="65" spans="2:3" x14ac:dyDescent="0.3">
      <c r="B65" s="13" t="s">
        <v>64</v>
      </c>
      <c r="C65">
        <v>5</v>
      </c>
    </row>
    <row r="66" spans="2:3" x14ac:dyDescent="0.3">
      <c r="B66" s="13" t="s">
        <v>56</v>
      </c>
      <c r="C66">
        <v>4.8</v>
      </c>
    </row>
    <row r="67" spans="2:3" x14ac:dyDescent="0.3">
      <c r="B67" s="13" t="s">
        <v>58</v>
      </c>
      <c r="C67">
        <v>4.8</v>
      </c>
    </row>
    <row r="68" spans="2:3" x14ac:dyDescent="0.3">
      <c r="B68" s="13" t="s">
        <v>57</v>
      </c>
      <c r="C68">
        <v>4.8</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6331F-8748-4DBD-8C47-F1B4FE120654}">
  <dimension ref="B3:E60"/>
  <sheetViews>
    <sheetView workbookViewId="0">
      <selection activeCell="I19" sqref="I19"/>
    </sheetView>
  </sheetViews>
  <sheetFormatPr defaultRowHeight="14.4" x14ac:dyDescent="0.3"/>
  <cols>
    <col min="2" max="2" width="70.6640625" bestFit="1" customWidth="1"/>
    <col min="3" max="3" width="20.88671875" bestFit="1" customWidth="1"/>
    <col min="4" max="4" width="16.88671875" bestFit="1" customWidth="1"/>
    <col min="5" max="5" width="18.21875" bestFit="1" customWidth="1"/>
  </cols>
  <sheetData>
    <row r="3" spans="2:5" x14ac:dyDescent="0.3">
      <c r="B3" s="12" t="s">
        <v>0</v>
      </c>
      <c r="C3" t="s">
        <v>148</v>
      </c>
      <c r="D3" t="s">
        <v>150</v>
      </c>
      <c r="E3" t="s">
        <v>151</v>
      </c>
    </row>
    <row r="4" spans="2:5" x14ac:dyDescent="0.3">
      <c r="B4" s="13" t="s">
        <v>44</v>
      </c>
      <c r="C4">
        <v>4.5</v>
      </c>
      <c r="D4">
        <v>2</v>
      </c>
      <c r="E4" s="1">
        <v>0.38</v>
      </c>
    </row>
    <row r="5" spans="2:5" x14ac:dyDescent="0.3">
      <c r="B5" s="13" t="s">
        <v>53</v>
      </c>
      <c r="C5">
        <v>4.7</v>
      </c>
      <c r="D5">
        <v>39</v>
      </c>
      <c r="E5" s="1">
        <v>0.34</v>
      </c>
    </row>
    <row r="6" spans="2:5" x14ac:dyDescent="0.3">
      <c r="B6" s="13" t="s">
        <v>45</v>
      </c>
      <c r="C6">
        <v>4.5</v>
      </c>
      <c r="D6">
        <v>2</v>
      </c>
      <c r="E6" s="1">
        <v>0.38</v>
      </c>
    </row>
    <row r="7" spans="2:5" x14ac:dyDescent="0.3">
      <c r="B7" s="13" t="s">
        <v>28</v>
      </c>
      <c r="C7">
        <v>3.8</v>
      </c>
      <c r="D7">
        <v>13</v>
      </c>
      <c r="E7" s="1">
        <v>0.32</v>
      </c>
    </row>
    <row r="8" spans="2:5" x14ac:dyDescent="0.3">
      <c r="B8" s="13" t="s">
        <v>54</v>
      </c>
      <c r="C8">
        <v>4.7</v>
      </c>
      <c r="D8">
        <v>12</v>
      </c>
      <c r="E8" s="1">
        <v>0.34</v>
      </c>
    </row>
    <row r="9" spans="2:5" x14ac:dyDescent="0.3">
      <c r="B9" s="13" t="s">
        <v>19</v>
      </c>
      <c r="C9">
        <v>2.8</v>
      </c>
      <c r="D9">
        <v>69</v>
      </c>
      <c r="E9" s="1">
        <v>0.49</v>
      </c>
    </row>
    <row r="10" spans="2:5" x14ac:dyDescent="0.3">
      <c r="B10" s="13" t="s">
        <v>27</v>
      </c>
      <c r="C10">
        <v>3.8</v>
      </c>
      <c r="D10">
        <v>5</v>
      </c>
      <c r="E10" s="1">
        <v>0.45</v>
      </c>
    </row>
    <row r="11" spans="2:5" x14ac:dyDescent="0.3">
      <c r="B11" s="13" t="s">
        <v>50</v>
      </c>
      <c r="C11">
        <v>4.5999999999999996</v>
      </c>
      <c r="D11">
        <v>55</v>
      </c>
      <c r="E11" s="1">
        <v>0.24</v>
      </c>
    </row>
    <row r="12" spans="2:5" x14ac:dyDescent="0.3">
      <c r="B12" s="13" t="s">
        <v>33</v>
      </c>
      <c r="C12">
        <v>4</v>
      </c>
      <c r="D12">
        <v>15</v>
      </c>
      <c r="E12" s="1">
        <v>0.09</v>
      </c>
    </row>
    <row r="13" spans="2:5" x14ac:dyDescent="0.3">
      <c r="B13" s="13" t="s">
        <v>24</v>
      </c>
      <c r="C13">
        <v>3</v>
      </c>
      <c r="D13">
        <v>5</v>
      </c>
      <c r="E13" s="1">
        <v>0.39</v>
      </c>
    </row>
    <row r="14" spans="2:5" x14ac:dyDescent="0.3">
      <c r="B14" s="13" t="s">
        <v>14</v>
      </c>
      <c r="C14">
        <v>2.2999999999999998</v>
      </c>
      <c r="D14">
        <v>7</v>
      </c>
      <c r="E14" s="1">
        <v>0.5</v>
      </c>
    </row>
    <row r="15" spans="2:5" x14ac:dyDescent="0.3">
      <c r="B15" s="13" t="s">
        <v>47</v>
      </c>
      <c r="C15">
        <v>4.5999999999999996</v>
      </c>
      <c r="D15">
        <v>44</v>
      </c>
      <c r="E15" s="1">
        <v>0.49</v>
      </c>
    </row>
    <row r="16" spans="2:5" x14ac:dyDescent="0.3">
      <c r="B16" s="13" t="s">
        <v>26</v>
      </c>
      <c r="C16">
        <v>3.3</v>
      </c>
      <c r="D16">
        <v>13</v>
      </c>
      <c r="E16" s="1">
        <v>0.53</v>
      </c>
    </row>
    <row r="17" spans="2:5" x14ac:dyDescent="0.3">
      <c r="B17" s="13" t="s">
        <v>57</v>
      </c>
      <c r="C17">
        <v>4.8</v>
      </c>
      <c r="D17">
        <v>12</v>
      </c>
      <c r="E17" s="1">
        <v>0.47</v>
      </c>
    </row>
    <row r="18" spans="2:5" x14ac:dyDescent="0.3">
      <c r="B18" s="13" t="s">
        <v>16</v>
      </c>
      <c r="C18">
        <v>2.5</v>
      </c>
      <c r="D18">
        <v>6</v>
      </c>
      <c r="E18" s="1">
        <v>0.13</v>
      </c>
    </row>
    <row r="19" spans="2:5" x14ac:dyDescent="0.3">
      <c r="B19" s="13" t="s">
        <v>35</v>
      </c>
      <c r="C19">
        <v>4.0999999999999996</v>
      </c>
      <c r="D19">
        <v>20</v>
      </c>
      <c r="E19" s="1">
        <v>0.3</v>
      </c>
    </row>
    <row r="20" spans="2:5" x14ac:dyDescent="0.3">
      <c r="B20" s="13" t="s">
        <v>46</v>
      </c>
      <c r="C20">
        <v>4.5</v>
      </c>
      <c r="D20">
        <v>32</v>
      </c>
      <c r="E20" s="1">
        <v>0.27</v>
      </c>
    </row>
    <row r="21" spans="2:5" x14ac:dyDescent="0.3">
      <c r="B21" s="13" t="s">
        <v>55</v>
      </c>
      <c r="C21">
        <v>4.7</v>
      </c>
      <c r="D21">
        <v>20</v>
      </c>
      <c r="E21" s="1">
        <v>0.27</v>
      </c>
    </row>
    <row r="22" spans="2:5" x14ac:dyDescent="0.3">
      <c r="B22" s="13" t="s">
        <v>10</v>
      </c>
      <c r="C22">
        <v>2.1</v>
      </c>
      <c r="D22">
        <v>13</v>
      </c>
      <c r="E22" s="1">
        <v>0.55000000000000004</v>
      </c>
    </row>
    <row r="23" spans="2:5" x14ac:dyDescent="0.3">
      <c r="B23" s="13" t="s">
        <v>12</v>
      </c>
      <c r="C23">
        <v>2.2000000000000002</v>
      </c>
      <c r="D23">
        <v>6</v>
      </c>
      <c r="E23" s="1">
        <v>0.47</v>
      </c>
    </row>
    <row r="24" spans="2:5" x14ac:dyDescent="0.3">
      <c r="B24" s="13" t="s">
        <v>17</v>
      </c>
      <c r="C24">
        <v>2.6</v>
      </c>
      <c r="D24">
        <v>17</v>
      </c>
      <c r="E24" s="1">
        <v>0.45</v>
      </c>
    </row>
    <row r="25" spans="2:5" x14ac:dyDescent="0.3">
      <c r="B25" s="13" t="s">
        <v>60</v>
      </c>
      <c r="C25">
        <v>5</v>
      </c>
      <c r="D25">
        <v>2</v>
      </c>
      <c r="E25" s="1">
        <v>0.51</v>
      </c>
    </row>
    <row r="26" spans="2:5" x14ac:dyDescent="0.3">
      <c r="B26" s="13" t="s">
        <v>13</v>
      </c>
      <c r="C26">
        <v>2.2000000000000002</v>
      </c>
      <c r="D26">
        <v>6</v>
      </c>
      <c r="E26" s="1">
        <v>0.45</v>
      </c>
    </row>
    <row r="27" spans="2:5" x14ac:dyDescent="0.3">
      <c r="B27" s="13" t="s">
        <v>62</v>
      </c>
      <c r="C27">
        <v>5</v>
      </c>
      <c r="D27">
        <v>1</v>
      </c>
      <c r="E27" s="1">
        <v>0.49</v>
      </c>
    </row>
    <row r="28" spans="2:5" x14ac:dyDescent="0.3">
      <c r="B28" s="13" t="s">
        <v>59</v>
      </c>
      <c r="C28">
        <v>5</v>
      </c>
      <c r="D28">
        <v>2</v>
      </c>
      <c r="E28" s="1">
        <v>0.53</v>
      </c>
    </row>
    <row r="29" spans="2:5" x14ac:dyDescent="0.3">
      <c r="B29" s="13" t="s">
        <v>31</v>
      </c>
      <c r="C29">
        <v>4</v>
      </c>
      <c r="D29">
        <v>2</v>
      </c>
      <c r="E29" s="1">
        <v>0.37</v>
      </c>
    </row>
    <row r="30" spans="2:5" x14ac:dyDescent="0.3">
      <c r="B30" s="13" t="s">
        <v>64</v>
      </c>
      <c r="C30">
        <v>5</v>
      </c>
      <c r="D30">
        <v>1</v>
      </c>
      <c r="E30" s="1">
        <v>0.4</v>
      </c>
    </row>
    <row r="31" spans="2:5" x14ac:dyDescent="0.3">
      <c r="B31" s="13" t="s">
        <v>11</v>
      </c>
      <c r="C31">
        <v>2.1</v>
      </c>
      <c r="D31">
        <v>7</v>
      </c>
      <c r="E31" s="1">
        <v>0.47</v>
      </c>
    </row>
    <row r="32" spans="2:5" x14ac:dyDescent="0.3">
      <c r="B32" s="13" t="s">
        <v>48</v>
      </c>
      <c r="C32">
        <v>4.5999999999999996</v>
      </c>
      <c r="D32">
        <v>49</v>
      </c>
      <c r="E32" s="1">
        <v>0.35</v>
      </c>
    </row>
    <row r="33" spans="2:5" x14ac:dyDescent="0.3">
      <c r="B33" s="13" t="s">
        <v>39</v>
      </c>
      <c r="C33">
        <v>4.3</v>
      </c>
      <c r="D33">
        <v>9</v>
      </c>
      <c r="E33" s="1">
        <v>0.52</v>
      </c>
    </row>
    <row r="34" spans="2:5" x14ac:dyDescent="0.3">
      <c r="B34" s="13" t="s">
        <v>42</v>
      </c>
      <c r="C34">
        <v>4.4000000000000004</v>
      </c>
      <c r="D34">
        <v>14</v>
      </c>
      <c r="E34" s="1">
        <v>0.23</v>
      </c>
    </row>
    <row r="35" spans="2:5" x14ac:dyDescent="0.3">
      <c r="B35" s="13" t="s">
        <v>36</v>
      </c>
      <c r="C35">
        <v>4.0999999999999996</v>
      </c>
      <c r="D35">
        <v>12</v>
      </c>
      <c r="E35" s="1">
        <v>0.2</v>
      </c>
    </row>
    <row r="36" spans="2:5" x14ac:dyDescent="0.3">
      <c r="B36" s="13" t="s">
        <v>30</v>
      </c>
      <c r="C36">
        <v>4</v>
      </c>
      <c r="D36">
        <v>1</v>
      </c>
      <c r="E36" s="1">
        <v>0.49</v>
      </c>
    </row>
    <row r="37" spans="2:5" x14ac:dyDescent="0.3">
      <c r="B37" s="13" t="s">
        <v>18</v>
      </c>
      <c r="C37">
        <v>2.7</v>
      </c>
      <c r="D37">
        <v>15</v>
      </c>
      <c r="E37" s="1">
        <v>0.52</v>
      </c>
    </row>
    <row r="38" spans="2:5" x14ac:dyDescent="0.3">
      <c r="B38" s="13" t="s">
        <v>65</v>
      </c>
      <c r="C38">
        <v>5</v>
      </c>
      <c r="D38">
        <v>1</v>
      </c>
      <c r="E38" s="1">
        <v>0.21</v>
      </c>
    </row>
    <row r="39" spans="2:5" x14ac:dyDescent="0.3">
      <c r="B39" s="13" t="s">
        <v>25</v>
      </c>
      <c r="C39">
        <v>3</v>
      </c>
      <c r="D39">
        <v>5</v>
      </c>
      <c r="E39" s="1">
        <v>0.28999999999999998</v>
      </c>
    </row>
    <row r="40" spans="2:5" x14ac:dyDescent="0.3">
      <c r="B40" s="13" t="s">
        <v>38</v>
      </c>
      <c r="C40">
        <v>4.3</v>
      </c>
      <c r="D40">
        <v>7</v>
      </c>
      <c r="E40" s="1">
        <v>0.54</v>
      </c>
    </row>
    <row r="41" spans="2:5" x14ac:dyDescent="0.3">
      <c r="B41" s="13" t="s">
        <v>61</v>
      </c>
      <c r="C41">
        <v>5</v>
      </c>
      <c r="D41">
        <v>3</v>
      </c>
      <c r="E41" s="1">
        <v>0.49</v>
      </c>
    </row>
    <row r="42" spans="2:5" x14ac:dyDescent="0.3">
      <c r="B42" s="13" t="s">
        <v>43</v>
      </c>
      <c r="C42">
        <v>4.5</v>
      </c>
      <c r="D42">
        <v>6</v>
      </c>
      <c r="E42" s="1">
        <v>0.42</v>
      </c>
    </row>
    <row r="43" spans="2:5" x14ac:dyDescent="0.3">
      <c r="B43" s="13" t="s">
        <v>56</v>
      </c>
      <c r="C43">
        <v>4.8</v>
      </c>
      <c r="D43">
        <v>5</v>
      </c>
      <c r="E43" s="1">
        <v>0.55000000000000004</v>
      </c>
    </row>
    <row r="44" spans="2:5" x14ac:dyDescent="0.3">
      <c r="B44" s="13" t="s">
        <v>40</v>
      </c>
      <c r="C44">
        <v>4.3</v>
      </c>
      <c r="D44">
        <v>9</v>
      </c>
      <c r="E44" s="1">
        <v>0.48</v>
      </c>
    </row>
    <row r="45" spans="2:5" x14ac:dyDescent="0.3">
      <c r="B45" s="13" t="s">
        <v>32</v>
      </c>
      <c r="C45">
        <v>4</v>
      </c>
      <c r="D45">
        <v>6</v>
      </c>
      <c r="E45" s="1">
        <v>0.35</v>
      </c>
    </row>
    <row r="46" spans="2:5" x14ac:dyDescent="0.3">
      <c r="B46" s="13" t="s">
        <v>51</v>
      </c>
      <c r="C46">
        <v>4.5999999999999996</v>
      </c>
      <c r="D46">
        <v>5</v>
      </c>
      <c r="E46" s="1">
        <v>0.19</v>
      </c>
    </row>
    <row r="47" spans="2:5" x14ac:dyDescent="0.3">
      <c r="B47" s="13" t="s">
        <v>22</v>
      </c>
      <c r="C47">
        <v>3</v>
      </c>
      <c r="D47">
        <v>1</v>
      </c>
      <c r="E47" s="1">
        <v>0.46</v>
      </c>
    </row>
    <row r="48" spans="2:5" x14ac:dyDescent="0.3">
      <c r="B48" s="13" t="s">
        <v>34</v>
      </c>
      <c r="C48">
        <v>4.0999999999999996</v>
      </c>
      <c r="D48">
        <v>14</v>
      </c>
      <c r="E48" s="1">
        <v>0.47</v>
      </c>
    </row>
    <row r="49" spans="2:5" x14ac:dyDescent="0.3">
      <c r="B49" s="13" t="s">
        <v>37</v>
      </c>
      <c r="C49">
        <v>4.2</v>
      </c>
      <c r="D49">
        <v>9</v>
      </c>
      <c r="E49" s="1">
        <v>0.33</v>
      </c>
    </row>
    <row r="50" spans="2:5" x14ac:dyDescent="0.3">
      <c r="B50" s="13" t="s">
        <v>21</v>
      </c>
      <c r="C50">
        <v>3</v>
      </c>
      <c r="D50">
        <v>10</v>
      </c>
      <c r="E50" s="1">
        <v>0.54</v>
      </c>
    </row>
    <row r="51" spans="2:5" x14ac:dyDescent="0.3">
      <c r="B51" s="13" t="s">
        <v>63</v>
      </c>
      <c r="C51">
        <v>5</v>
      </c>
      <c r="D51">
        <v>2</v>
      </c>
      <c r="E51" s="1">
        <v>0.46</v>
      </c>
    </row>
    <row r="52" spans="2:5" x14ac:dyDescent="0.3">
      <c r="B52" s="13" t="s">
        <v>58</v>
      </c>
      <c r="C52">
        <v>4.8</v>
      </c>
      <c r="D52">
        <v>5</v>
      </c>
      <c r="E52" s="1">
        <v>0.26</v>
      </c>
    </row>
    <row r="53" spans="2:5" x14ac:dyDescent="0.3">
      <c r="B53" s="13" t="s">
        <v>49</v>
      </c>
      <c r="C53">
        <v>4.5999999999999996</v>
      </c>
      <c r="D53">
        <v>24</v>
      </c>
      <c r="E53" s="1">
        <v>0.25</v>
      </c>
    </row>
    <row r="54" spans="2:5" x14ac:dyDescent="0.3">
      <c r="B54" s="13" t="s">
        <v>29</v>
      </c>
      <c r="C54">
        <v>3.8</v>
      </c>
      <c r="D54">
        <v>12</v>
      </c>
      <c r="E54" s="1">
        <v>0.18</v>
      </c>
    </row>
    <row r="55" spans="2:5" x14ac:dyDescent="0.3">
      <c r="B55" s="13" t="s">
        <v>41</v>
      </c>
      <c r="C55">
        <v>4.3</v>
      </c>
      <c r="D55">
        <v>36</v>
      </c>
      <c r="E55" s="1">
        <v>0.41</v>
      </c>
    </row>
    <row r="56" spans="2:5" x14ac:dyDescent="0.3">
      <c r="B56" s="13" t="s">
        <v>20</v>
      </c>
      <c r="C56">
        <v>2.9</v>
      </c>
      <c r="D56">
        <v>16</v>
      </c>
      <c r="E56" s="1">
        <v>0.22</v>
      </c>
    </row>
    <row r="57" spans="2:5" x14ac:dyDescent="0.3">
      <c r="B57" s="13" t="s">
        <v>9</v>
      </c>
      <c r="C57">
        <v>2</v>
      </c>
      <c r="D57">
        <v>1</v>
      </c>
      <c r="E57" s="1">
        <v>0.5</v>
      </c>
    </row>
    <row r="58" spans="2:5" x14ac:dyDescent="0.3">
      <c r="B58" s="13" t="s">
        <v>15</v>
      </c>
      <c r="C58">
        <v>2.2999999999999998</v>
      </c>
      <c r="D58">
        <v>6</v>
      </c>
      <c r="E58" s="1">
        <v>0.43</v>
      </c>
    </row>
    <row r="59" spans="2:5" x14ac:dyDescent="0.3">
      <c r="B59" s="13" t="s">
        <v>52</v>
      </c>
      <c r="C59">
        <v>4.7</v>
      </c>
      <c r="D59">
        <v>7</v>
      </c>
      <c r="E59" s="1">
        <v>0.37</v>
      </c>
    </row>
    <row r="60" spans="2:5" x14ac:dyDescent="0.3">
      <c r="B60" s="13" t="s">
        <v>23</v>
      </c>
      <c r="C60">
        <v>3</v>
      </c>
      <c r="D60">
        <v>5</v>
      </c>
      <c r="E60" s="1">
        <v>0.43</v>
      </c>
    </row>
  </sheetData>
  <conditionalFormatting pivot="1" sqref="C4:C60">
    <cfRule type="colorScale" priority="2">
      <colorScale>
        <cfvo type="min"/>
        <cfvo type="max"/>
        <color rgb="FFFFEF9C"/>
        <color rgb="FFFF7128"/>
      </colorScale>
    </cfRule>
  </conditionalFormatting>
  <conditionalFormatting pivot="1" sqref="E4:E60">
    <cfRule type="colorScale" priority="1">
      <colorScale>
        <cfvo type="min"/>
        <cfvo type="max"/>
        <color rgb="FFFFFFCC"/>
        <color rgb="FFFF7128"/>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430CC299461045B36AA32CFCC05569" ma:contentTypeVersion="10" ma:contentTypeDescription="Een nieuw document maken." ma:contentTypeScope="" ma:versionID="9e96995d392e39586ba6261f76a386d1">
  <xsd:schema xmlns:xsd="http://www.w3.org/2001/XMLSchema" xmlns:xs="http://www.w3.org/2001/XMLSchema" xmlns:p="http://schemas.microsoft.com/office/2006/metadata/properties" xmlns:ns3="d1327695-099d-4b58-b779-b18dcfdfa637" targetNamespace="http://schemas.microsoft.com/office/2006/metadata/properties" ma:root="true" ma:fieldsID="fabeebe72d40b9362edb2fb3a896c8bd" ns3:_="">
    <xsd:import namespace="d1327695-099d-4b58-b779-b18dcfdfa63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327695-099d-4b58-b779-b18dcfdfa63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d1327695-099d-4b58-b779-b18dcfdfa63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E23158-E5F7-48BD-BFD8-D6D43A6E10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327695-099d-4b58-b779-b18dcfdfa6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8C93A63-0ED4-46E4-A07E-CF1C8068B404}">
  <ds:schemaRefs>
    <ds:schemaRef ds:uri="http://schemas.microsoft.com/office/2006/documentManagement/types"/>
    <ds:schemaRef ds:uri="http://purl.org/dc/dcmitype/"/>
    <ds:schemaRef ds:uri="d1327695-099d-4b58-b779-b18dcfdfa637"/>
    <ds:schemaRef ds:uri="http://purl.org/dc/elements/1.1/"/>
    <ds:schemaRef ds:uri="http://schemas.microsoft.com/office/infopath/2007/PartnerControls"/>
    <ds:schemaRef ds:uri="http://purl.org/dc/terms/"/>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A486810-F8BD-4DA9-BE86-6C9633ED1A9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Excel_jumia (1)</vt:lpstr>
      <vt:lpstr>Duplicate Products</vt:lpstr>
      <vt:lpstr>Descriptive Analysis</vt:lpstr>
      <vt:lpstr>Trend Analysis</vt:lpstr>
      <vt:lpstr>Product Performance Analysis</vt:lpstr>
      <vt:lpstr>Performance Analysis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BrianMuneneM</dc:creator>
  <cp:keywords/>
  <dc:description/>
  <cp:lastModifiedBy>Brian Munene Muriithi</cp:lastModifiedBy>
  <cp:revision/>
  <dcterms:created xsi:type="dcterms:W3CDTF">2026-03-23T13:19:31Z</dcterms:created>
  <dcterms:modified xsi:type="dcterms:W3CDTF">2026-03-27T22:13:42Z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0x01010004430CC299461045B36AA32CFCC05569</vt:lpwstr>
  </property>
</Properties>
</file>